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a7f9035d3075469/Desktop/data analytics journey/excel and sql/Excel-Sales-Dashboard/"/>
    </mc:Choice>
  </mc:AlternateContent>
  <xr:revisionPtr revIDLastSave="1798" documentId="8_{3897F12E-E602-45E1-9E9C-D5B21972CC3F}" xr6:coauthVersionLast="47" xr6:coauthVersionMax="47" xr10:uidLastSave="{05A46A58-6988-448F-B749-17436B3215BB}"/>
  <bookViews>
    <workbookView xWindow="-110" yWindow="-110" windowWidth="19420" windowHeight="11020" activeTab="4" xr2:uid="{93B2E84D-C3A0-4E8C-8E6B-61733B7AA40E}"/>
  </bookViews>
  <sheets>
    <sheet name="Sales Data" sheetId="1" r:id="rId1"/>
    <sheet name="product prices" sheetId="2" r:id="rId2"/>
    <sheet name="sales data1" sheetId="3" r:id="rId3"/>
    <sheet name="pivot tables" sheetId="4" r:id="rId4"/>
    <sheet name="DASHBOARD" sheetId="6" r:id="rId5"/>
  </sheets>
  <definedNames>
    <definedName name="_xlnm._FilterDatabase" localSheetId="0" hidden="1">'Sales Data'!$A$1:$I$11</definedName>
    <definedName name="Slicer_Category">#N/A</definedName>
    <definedName name="Slicer_City">#N/A</definedName>
    <definedName name="Slicer_Month">#N/A</definedName>
    <definedName name="Slicer_Sales_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6" i="3" l="1"/>
  <c r="M18" i="3"/>
  <c r="M24" i="3"/>
  <c r="M22" i="3"/>
  <c r="M16" i="3"/>
  <c r="M14" i="3"/>
  <c r="M12" i="3"/>
  <c r="M10" i="3"/>
  <c r="M8" i="3"/>
  <c r="M6" i="3"/>
  <c r="M4" i="3"/>
  <c r="M2" i="3"/>
  <c r="D35" i="1"/>
  <c r="C35" i="1"/>
  <c r="B35" i="1"/>
  <c r="A35" i="1"/>
  <c r="B34" i="1"/>
  <c r="C34" i="1"/>
  <c r="D34" i="1"/>
  <c r="A34" i="1"/>
  <c r="M3" i="1"/>
  <c r="M2" i="1"/>
  <c r="D33" i="1"/>
  <c r="C33" i="1"/>
  <c r="B33" i="1"/>
  <c r="A33" i="1"/>
  <c r="J21" i="1"/>
  <c r="J22" i="1"/>
  <c r="J23" i="1"/>
  <c r="J24" i="1"/>
  <c r="J25" i="1"/>
  <c r="J26" i="1"/>
  <c r="J27" i="1"/>
  <c r="J28" i="1"/>
  <c r="J29" i="1"/>
  <c r="J20" i="1"/>
  <c r="I21" i="1"/>
  <c r="I22" i="1"/>
  <c r="I23" i="1"/>
  <c r="I24" i="1"/>
  <c r="I25" i="1"/>
  <c r="I26" i="1"/>
  <c r="I27" i="1"/>
  <c r="I28" i="1"/>
  <c r="I29" i="1"/>
  <c r="I20" i="1"/>
  <c r="B3" i="2"/>
  <c r="B4" i="2"/>
  <c r="B5" i="2"/>
  <c r="B6" i="2"/>
  <c r="B7" i="2"/>
  <c r="B8" i="2"/>
  <c r="B9" i="2"/>
  <c r="B10" i="2"/>
  <c r="B11" i="2"/>
  <c r="B2" i="2"/>
  <c r="M12" i="1"/>
  <c r="M9" i="1"/>
  <c r="M6" i="1"/>
  <c r="M11" i="1"/>
  <c r="M8" i="1"/>
  <c r="M5" i="1"/>
  <c r="I10" i="1"/>
  <c r="I7" i="1"/>
  <c r="I5" i="1"/>
  <c r="I11" i="1"/>
  <c r="I8" i="1"/>
  <c r="I3" i="1"/>
  <c r="I6" i="1"/>
  <c r="I4" i="1"/>
  <c r="I9" i="1"/>
  <c r="I2" i="1"/>
  <c r="E16" i="1"/>
  <c r="D16" i="1"/>
  <c r="C16" i="1"/>
  <c r="B16" i="1"/>
  <c r="A16" i="1"/>
</calcChain>
</file>

<file path=xl/sharedStrings.xml><?xml version="1.0" encoding="utf-8"?>
<sst xmlns="http://schemas.openxmlformats.org/spreadsheetml/2006/main" count="285" uniqueCount="126">
  <si>
    <t>ORDER ID</t>
  </si>
  <si>
    <t>CUSTOMER</t>
  </si>
  <si>
    <t>CITY</t>
  </si>
  <si>
    <t>PRODUCT</t>
  </si>
  <si>
    <t>CATEGORY</t>
  </si>
  <si>
    <t xml:space="preserve">QUANTITY </t>
  </si>
  <si>
    <t>UNIT PRICE</t>
  </si>
  <si>
    <t>SALES</t>
  </si>
  <si>
    <t>ANU</t>
  </si>
  <si>
    <t>AASHU</t>
  </si>
  <si>
    <t>BHUMI</t>
  </si>
  <si>
    <t>CHIKU</t>
  </si>
  <si>
    <t>DEVESH</t>
  </si>
  <si>
    <t>YASH</t>
  </si>
  <si>
    <t>RAVI</t>
  </si>
  <si>
    <t>SAHIL</t>
  </si>
  <si>
    <t>YASHVI</t>
  </si>
  <si>
    <t>VISHNU</t>
  </si>
  <si>
    <t>KOTA</t>
  </si>
  <si>
    <t>DELHI</t>
  </si>
  <si>
    <t>MUMBAI</t>
  </si>
  <si>
    <t>JAIPUR</t>
  </si>
  <si>
    <t>LAPTOP</t>
  </si>
  <si>
    <t>KEYBOARD</t>
  </si>
  <si>
    <t>DESK</t>
  </si>
  <si>
    <t>PHONE</t>
  </si>
  <si>
    <t>PHONECOVER</t>
  </si>
  <si>
    <t>CHAIR</t>
  </si>
  <si>
    <t>HEADPHONE</t>
  </si>
  <si>
    <t>ELECTRONIC</t>
  </si>
  <si>
    <t>ACESSORIES</t>
  </si>
  <si>
    <t>FURNITURE</t>
  </si>
  <si>
    <t>total sales</t>
  </si>
  <si>
    <t>average</t>
  </si>
  <si>
    <t>minimum</t>
  </si>
  <si>
    <t>maximum</t>
  </si>
  <si>
    <t>count</t>
  </si>
  <si>
    <t>high sales</t>
  </si>
  <si>
    <t>delhi sales</t>
  </si>
  <si>
    <t>jaipur</t>
  </si>
  <si>
    <t>mumbai</t>
  </si>
  <si>
    <t>kota</t>
  </si>
  <si>
    <t>PRICE</t>
  </si>
  <si>
    <t>EMPLOYEE ID</t>
  </si>
  <si>
    <t>NAME</t>
  </si>
  <si>
    <t>DEPARTMENT</t>
  </si>
  <si>
    <t>SALARY</t>
  </si>
  <si>
    <t>AGE</t>
  </si>
  <si>
    <t>EXPERIENCE</t>
  </si>
  <si>
    <t>RATING</t>
  </si>
  <si>
    <t>BONUS</t>
  </si>
  <si>
    <t>bhumika</t>
  </si>
  <si>
    <t>charu</t>
  </si>
  <si>
    <t>gauri</t>
  </si>
  <si>
    <t>khushi</t>
  </si>
  <si>
    <t>lavi</t>
  </si>
  <si>
    <t>manvi</t>
  </si>
  <si>
    <t>priya</t>
  </si>
  <si>
    <t>yashi</t>
  </si>
  <si>
    <t>vishi</t>
  </si>
  <si>
    <t>aysha</t>
  </si>
  <si>
    <t>sales</t>
  </si>
  <si>
    <t>cyber</t>
  </si>
  <si>
    <t>developer</t>
  </si>
  <si>
    <t>1yr</t>
  </si>
  <si>
    <t>2yr</t>
  </si>
  <si>
    <t>3yr</t>
  </si>
  <si>
    <t>4yr</t>
  </si>
  <si>
    <t>BONUS ELEGIBLE</t>
  </si>
  <si>
    <t>TOTAL SALARY</t>
  </si>
  <si>
    <t>CYBER</t>
  </si>
  <si>
    <t>DEVELOPER</t>
  </si>
  <si>
    <t>ANALYST</t>
  </si>
  <si>
    <t>analyst</t>
  </si>
  <si>
    <t>Order ID</t>
  </si>
  <si>
    <t>Date</t>
  </si>
  <si>
    <t>Month</t>
  </si>
  <si>
    <t>Product</t>
  </si>
  <si>
    <t>Category</t>
  </si>
  <si>
    <t>City</t>
  </si>
  <si>
    <t>Sales Person</t>
  </si>
  <si>
    <t>Units Sold</t>
  </si>
  <si>
    <t>Price</t>
  </si>
  <si>
    <t>Sales</t>
  </si>
  <si>
    <t>Profit</t>
  </si>
  <si>
    <t>Jan</t>
  </si>
  <si>
    <t>Laptop</t>
  </si>
  <si>
    <t>Electronics</t>
  </si>
  <si>
    <t>Delhi</t>
  </si>
  <si>
    <t>Aman</t>
  </si>
  <si>
    <t>Shoes</t>
  </si>
  <si>
    <t>Fashion</t>
  </si>
  <si>
    <t>Mumbai</t>
  </si>
  <si>
    <t>Riya</t>
  </si>
  <si>
    <t>Mobile</t>
  </si>
  <si>
    <t>Jaipur</t>
  </si>
  <si>
    <t>Arjun</t>
  </si>
  <si>
    <t>Watch</t>
  </si>
  <si>
    <t>Accessories</t>
  </si>
  <si>
    <t>Karan</t>
  </si>
  <si>
    <t>Headphones</t>
  </si>
  <si>
    <t>Pune</t>
  </si>
  <si>
    <t>Bag</t>
  </si>
  <si>
    <t>Tablet</t>
  </si>
  <si>
    <t>Feb</t>
  </si>
  <si>
    <t>Mar</t>
  </si>
  <si>
    <t>TOTAL SALES</t>
  </si>
  <si>
    <t>TOTAL PROFIT</t>
  </si>
  <si>
    <t>HIGHEST SALES</t>
  </si>
  <si>
    <t>LOWEST SALES</t>
  </si>
  <si>
    <t>TOTAL UNITS SOLD</t>
  </si>
  <si>
    <t>TOTAL SALES IN DELHI</t>
  </si>
  <si>
    <t>TOTAL SALES OF ELECTRONICS</t>
  </si>
  <si>
    <t>TOTAL PROFIT OF FASHION</t>
  </si>
  <si>
    <t>PRODUCST SOLD IN JAIPURE</t>
  </si>
  <si>
    <t>MAX. SALES PERSON</t>
  </si>
  <si>
    <t>RIYA</t>
  </si>
  <si>
    <t>LAPTOP SALES BY XLOOKUP</t>
  </si>
  <si>
    <t>TOTAL FEB. PROFIT</t>
  </si>
  <si>
    <t>Row Labels</t>
  </si>
  <si>
    <t>Grand Total</t>
  </si>
  <si>
    <t>Sum of Sales</t>
  </si>
  <si>
    <t>Sum of Profit</t>
  </si>
  <si>
    <t>Sum of Units Sold</t>
  </si>
  <si>
    <t>SALES DASHBOARD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</si>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</sst>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_ [$₹-439]* #,##0_ ;_ [$₹-439]* \-#,##0_ ;_ [$₹-439]* &quot;-&quot;??_ ;_ @_ "/>
  </numFmts>
  <fonts count="7" x14ac:knownFonts="1">
    <font>
      <sz val="11"/>
      <color theme="1"/>
      <name val="Calibri"/>
      <family val="2"/>
      <scheme val="minor"/>
    </font>
    <font>
      <b/>
      <sz val="12"/>
      <color theme="0"/>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b/>
      <sz val="11"/>
      <color rgb="FFFFFFFF"/>
      <name val="Calibri"/>
      <family val="2"/>
      <scheme val="minor"/>
    </font>
    <font>
      <b/>
      <sz val="24"/>
      <color rgb="FFFFFFFF"/>
      <name val="Calibri"/>
      <family val="2"/>
      <scheme val="minor"/>
    </font>
  </fonts>
  <fills count="7">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99FF"/>
        <bgColor indexed="64"/>
      </patternFill>
    </fill>
    <fill>
      <patternFill patternType="solid">
        <fgColor rgb="FFCCECFF"/>
        <bgColor indexed="64"/>
      </patternFill>
    </fill>
    <fill>
      <patternFill patternType="solid">
        <fgColor rgb="FF3399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2" fillId="0" borderId="0" applyFont="0" applyFill="0" applyBorder="0" applyAlignment="0" applyProtection="0"/>
  </cellStyleXfs>
  <cellXfs count="55">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11" xfId="0"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3" fillId="3" borderId="0" xfId="0" applyFont="1" applyFill="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0" fillId="0" borderId="1" xfId="0" applyBorder="1"/>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164" fontId="4" fillId="0" borderId="7" xfId="0" applyNumberFormat="1" applyFont="1" applyBorder="1" applyAlignment="1">
      <alignment horizontal="center" vertical="center"/>
    </xf>
    <xf numFmtId="165" fontId="4" fillId="0" borderId="7" xfId="0" applyNumberFormat="1" applyFont="1" applyBorder="1" applyAlignment="1">
      <alignment horizontal="center" vertical="center"/>
    </xf>
    <xf numFmtId="165" fontId="4" fillId="0" borderId="1" xfId="1" applyNumberFormat="1" applyFont="1" applyBorder="1" applyAlignment="1">
      <alignment horizontal="center" vertical="center"/>
    </xf>
    <xf numFmtId="165" fontId="4" fillId="0" borderId="7" xfId="1" applyNumberFormat="1" applyFont="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5" fontId="0" fillId="0" borderId="12" xfId="0" applyNumberFormat="1" applyBorder="1"/>
    <xf numFmtId="165" fontId="0" fillId="0" borderId="13" xfId="0" applyNumberFormat="1" applyBorder="1"/>
    <xf numFmtId="0" fontId="0" fillId="0" borderId="0" xfId="0" applyAlignment="1">
      <alignment vertical="center" wrapText="1"/>
    </xf>
    <xf numFmtId="14" fontId="0" fillId="0" borderId="0" xfId="0" applyNumberFormat="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1" xfId="0" applyBorder="1" applyAlignment="1">
      <alignment horizontal="center" vertical="center" wrapText="1"/>
    </xf>
    <xf numFmtId="0" fontId="0" fillId="0" borderId="9" xfId="0" applyBorder="1" applyAlignment="1">
      <alignment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0" fillId="0" borderId="17" xfId="0" applyBorder="1" applyAlignment="1">
      <alignment horizontal="center" vertical="center" wrapText="1"/>
    </xf>
    <xf numFmtId="14" fontId="0" fillId="0" borderId="18" xfId="0" applyNumberFormat="1" applyBorder="1" applyAlignment="1">
      <alignment vertical="center" wrapText="1"/>
    </xf>
    <xf numFmtId="0" fontId="0" fillId="0" borderId="18" xfId="0"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5" fillId="2" borderId="0" xfId="0" applyFont="1" applyFill="1" applyAlignment="1">
      <alignment horizontal="center" vertical="center"/>
    </xf>
    <xf numFmtId="0" fontId="0" fillId="0" borderId="0" xfId="0" pivotButton="1"/>
    <xf numFmtId="0" fontId="0" fillId="0" borderId="0" xfId="0" applyAlignment="1">
      <alignment horizontal="left"/>
    </xf>
    <xf numFmtId="0" fontId="6" fillId="6" borderId="0" xfId="0" applyFont="1" applyFill="1" applyAlignment="1">
      <alignment horizontal="center" vertical="center"/>
    </xf>
    <xf numFmtId="0" fontId="0" fillId="5" borderId="0" xfId="0" applyFill="1"/>
  </cellXfs>
  <cellStyles count="2">
    <cellStyle name="Currency" xfId="1" builtinId="4"/>
    <cellStyle name="Normal" xfId="0" builtinId="0"/>
  </cellStyles>
  <dxfs count="21">
    <dxf>
      <fill>
        <patternFill>
          <bgColor rgb="FFCC99FF"/>
        </patternFill>
      </fill>
    </dxf>
    <dxf>
      <numFmt numFmtId="0" formatCode="General"/>
      <fill>
        <patternFill patternType="solid">
          <fgColor auto="1"/>
          <bgColor rgb="FFFFCCFF"/>
        </patternFill>
      </fill>
    </dxf>
    <dxf>
      <fill>
        <patternFill>
          <bgColor rgb="FFFF5050"/>
        </patternFill>
      </fill>
    </dxf>
    <dxf>
      <fill>
        <patternFill>
          <bgColor rgb="FFCC99FF"/>
        </patternFill>
      </fill>
    </dxf>
    <dxf>
      <fill>
        <patternFill>
          <bgColor rgb="FFFF99FF"/>
        </patternFill>
      </fill>
    </dxf>
    <dxf>
      <fill>
        <patternFill>
          <bgColor rgb="FFFFC7CE"/>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rgb="FFFFFFFF"/>
        <name val="Calibri"/>
        <family val="2"/>
        <scheme val="minor"/>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FF"/>
      <color rgb="FF0066FF"/>
      <color rgb="FF0099FF"/>
      <color rgb="FF99CCFF"/>
      <color rgb="FF0000FF"/>
      <color rgb="FF3366FF"/>
      <color rgb="FF33CCFF"/>
      <color rgb="FFCCECFF"/>
      <color rgb="FF66CC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tables!MONTHLY SALES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s>
    <c:plotArea>
      <c:layout/>
      <c:pieChart>
        <c:varyColors val="1"/>
        <c:ser>
          <c:idx val="0"/>
          <c:order val="0"/>
          <c:tx>
            <c:strRef>
              <c:f>'pivot tables'!$H$3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A72B-4F58-886D-ACDD9BEE6ED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72B-4F58-886D-ACDD9BEE6EDB}"/>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A72B-4F58-886D-ACDD9BEE6EDB}"/>
              </c:ext>
            </c:extLst>
          </c:dPt>
          <c:cat>
            <c:strRef>
              <c:f>'pivot tables'!$G$4:$G$7</c:f>
              <c:strCache>
                <c:ptCount val="3"/>
                <c:pt idx="0">
                  <c:v>Jan</c:v>
                </c:pt>
                <c:pt idx="1">
                  <c:v>Feb</c:v>
                </c:pt>
                <c:pt idx="2">
                  <c:v>Mar</c:v>
                </c:pt>
              </c:strCache>
            </c:strRef>
          </c:cat>
          <c:val>
            <c:numRef>
              <c:f>'pivot tables'!$H$4:$H$7</c:f>
              <c:numCache>
                <c:formatCode>General</c:formatCode>
                <c:ptCount val="3"/>
                <c:pt idx="0">
                  <c:v>357200</c:v>
                </c:pt>
                <c:pt idx="1">
                  <c:v>245800</c:v>
                </c:pt>
                <c:pt idx="2">
                  <c:v>376600</c:v>
                </c:pt>
              </c:numCache>
            </c:numRef>
          </c:val>
          <c:extLst>
            <c:ext xmlns:c16="http://schemas.microsoft.com/office/drawing/2014/chart" uri="{C3380CC4-5D6E-409C-BE32-E72D297353CC}">
              <c16:uniqueId val="{00000000-0409-4141-A015-3EF46BE95E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tables!PRODUCT PROFIT</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Bag</c:v>
                </c:pt>
                <c:pt idx="1">
                  <c:v>Headphones</c:v>
                </c:pt>
                <c:pt idx="2">
                  <c:v>Laptop</c:v>
                </c:pt>
                <c:pt idx="3">
                  <c:v>Mobile</c:v>
                </c:pt>
                <c:pt idx="4">
                  <c:v>Shoes</c:v>
                </c:pt>
                <c:pt idx="5">
                  <c:v>Tablet</c:v>
                </c:pt>
                <c:pt idx="6">
                  <c:v>Watch</c:v>
                </c:pt>
              </c:strCache>
            </c:strRef>
          </c:cat>
          <c:val>
            <c:numRef>
              <c:f>'pivot tables'!$E$4:$E$11</c:f>
              <c:numCache>
                <c:formatCode>General</c:formatCode>
                <c:ptCount val="7"/>
                <c:pt idx="0">
                  <c:v>7700</c:v>
                </c:pt>
                <c:pt idx="1">
                  <c:v>8500</c:v>
                </c:pt>
                <c:pt idx="2">
                  <c:v>52000</c:v>
                </c:pt>
                <c:pt idx="3">
                  <c:v>62000</c:v>
                </c:pt>
                <c:pt idx="4">
                  <c:v>10200</c:v>
                </c:pt>
                <c:pt idx="5">
                  <c:v>48000</c:v>
                </c:pt>
                <c:pt idx="6">
                  <c:v>12200</c:v>
                </c:pt>
              </c:numCache>
            </c:numRef>
          </c:val>
          <c:extLst>
            <c:ext xmlns:c16="http://schemas.microsoft.com/office/drawing/2014/chart" uri="{C3380CC4-5D6E-409C-BE32-E72D297353CC}">
              <c16:uniqueId val="{00000000-102B-4B53-ADC5-70C56678125E}"/>
            </c:ext>
          </c:extLst>
        </c:ser>
        <c:dLbls>
          <c:dLblPos val="outEnd"/>
          <c:showLegendKey val="0"/>
          <c:showVal val="1"/>
          <c:showCatName val="0"/>
          <c:showSerName val="0"/>
          <c:showPercent val="0"/>
          <c:showBubbleSize val="0"/>
        </c:dLbls>
        <c:gapWidth val="182"/>
        <c:axId val="1510726928"/>
        <c:axId val="1510725008"/>
      </c:barChart>
      <c:catAx>
        <c:axId val="151072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25008"/>
        <c:crosses val="autoZero"/>
        <c:auto val="1"/>
        <c:lblAlgn val="ctr"/>
        <c:lblOffset val="100"/>
        <c:noMultiLvlLbl val="0"/>
      </c:catAx>
      <c:valAx>
        <c:axId val="151072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tables!CATEGORY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s>
    <c:plotArea>
      <c:layout/>
      <c:doughnutChart>
        <c:varyColors val="1"/>
        <c:ser>
          <c:idx val="0"/>
          <c:order val="0"/>
          <c:tx>
            <c:strRef>
              <c:f>'pivot tables'!$K$3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154D-489C-87C8-ED1ED92B200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54D-489C-87C8-ED1ED92B200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154D-489C-87C8-ED1ED92B200F}"/>
              </c:ext>
            </c:extLst>
          </c:dPt>
          <c:cat>
            <c:strRef>
              <c:f>'pivot tables'!$J$4:$J$7</c:f>
              <c:strCache>
                <c:ptCount val="3"/>
                <c:pt idx="0">
                  <c:v>Accessories</c:v>
                </c:pt>
                <c:pt idx="1">
                  <c:v>Electronics</c:v>
                </c:pt>
                <c:pt idx="2">
                  <c:v>Fashion</c:v>
                </c:pt>
              </c:strCache>
            </c:strRef>
          </c:cat>
          <c:val>
            <c:numRef>
              <c:f>'pivot tables'!$K$4:$K$7</c:f>
              <c:numCache>
                <c:formatCode>General</c:formatCode>
                <c:ptCount val="3"/>
                <c:pt idx="0">
                  <c:v>54000</c:v>
                </c:pt>
                <c:pt idx="1">
                  <c:v>861500</c:v>
                </c:pt>
                <c:pt idx="2">
                  <c:v>64100</c:v>
                </c:pt>
              </c:numCache>
            </c:numRef>
          </c:val>
          <c:extLst>
            <c:ext xmlns:c16="http://schemas.microsoft.com/office/drawing/2014/chart" uri="{C3380CC4-5D6E-409C-BE32-E72D297353CC}">
              <c16:uniqueId val="{00000000-7350-4FD1-A293-8425AE90E3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tables!SALES PERSON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solidFill>
              <a:schemeClr val="accent5"/>
            </a:solidFill>
            <a:ln>
              <a:noFill/>
            </a:ln>
            <a:effectLst/>
          </c:spPr>
          <c:invertIfNegative val="0"/>
          <c:cat>
            <c:strRef>
              <c:f>'pivot tables'!$A$15:$A$19</c:f>
              <c:strCache>
                <c:ptCount val="4"/>
                <c:pt idx="0">
                  <c:v>Aman</c:v>
                </c:pt>
                <c:pt idx="1">
                  <c:v>Arjun</c:v>
                </c:pt>
                <c:pt idx="2">
                  <c:v>Karan</c:v>
                </c:pt>
                <c:pt idx="3">
                  <c:v>Riya</c:v>
                </c:pt>
              </c:strCache>
            </c:strRef>
          </c:cat>
          <c:val>
            <c:numRef>
              <c:f>'pivot tables'!$B$15:$B$19</c:f>
              <c:numCache>
                <c:formatCode>General</c:formatCode>
                <c:ptCount val="4"/>
                <c:pt idx="0">
                  <c:v>29</c:v>
                </c:pt>
                <c:pt idx="1">
                  <c:v>26</c:v>
                </c:pt>
                <c:pt idx="2">
                  <c:v>21</c:v>
                </c:pt>
                <c:pt idx="3">
                  <c:v>23</c:v>
                </c:pt>
              </c:numCache>
            </c:numRef>
          </c:val>
          <c:extLst>
            <c:ext xmlns:c16="http://schemas.microsoft.com/office/drawing/2014/chart" uri="{C3380CC4-5D6E-409C-BE32-E72D297353CC}">
              <c16:uniqueId val="{00000000-7AB8-4775-ACDA-A7E092C840C8}"/>
            </c:ext>
          </c:extLst>
        </c:ser>
        <c:dLbls>
          <c:showLegendKey val="0"/>
          <c:showVal val="0"/>
          <c:showCatName val="0"/>
          <c:showSerName val="0"/>
          <c:showPercent val="0"/>
          <c:showBubbleSize val="0"/>
        </c:dLbls>
        <c:gapWidth val="219"/>
        <c:overlap val="-27"/>
        <c:axId val="1559559792"/>
        <c:axId val="1559555952"/>
      </c:barChart>
      <c:catAx>
        <c:axId val="155955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55952"/>
        <c:crosses val="autoZero"/>
        <c:auto val="1"/>
        <c:lblAlgn val="ctr"/>
        <c:lblOffset val="100"/>
        <c:noMultiLvlLbl val="0"/>
      </c:catAx>
      <c:valAx>
        <c:axId val="155955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5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tables!S.P , SALES , PROFIT , UNIT SOLD</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tables'!$E$14</c:f>
              <c:strCache>
                <c:ptCount val="1"/>
                <c:pt idx="0">
                  <c:v>Sum of Sales</c:v>
                </c:pt>
              </c:strCache>
            </c:strRef>
          </c:tx>
          <c:spPr>
            <a:solidFill>
              <a:schemeClr val="accent1"/>
            </a:solidFill>
            <a:ln>
              <a:noFill/>
            </a:ln>
            <a:effectLst/>
          </c:spPr>
          <c:cat>
            <c:strRef>
              <c:f>'pivot tables'!$D$15:$D$19</c:f>
              <c:strCache>
                <c:ptCount val="4"/>
                <c:pt idx="0">
                  <c:v>Aman</c:v>
                </c:pt>
                <c:pt idx="1">
                  <c:v>Arjun</c:v>
                </c:pt>
                <c:pt idx="2">
                  <c:v>Karan</c:v>
                </c:pt>
                <c:pt idx="3">
                  <c:v>Riya</c:v>
                </c:pt>
              </c:strCache>
            </c:strRef>
          </c:cat>
          <c:val>
            <c:numRef>
              <c:f>'pivot tables'!$E$15:$E$19</c:f>
              <c:numCache>
                <c:formatCode>General</c:formatCode>
                <c:ptCount val="4"/>
                <c:pt idx="0">
                  <c:v>203100</c:v>
                </c:pt>
                <c:pt idx="1">
                  <c:v>242800</c:v>
                </c:pt>
                <c:pt idx="2">
                  <c:v>242200</c:v>
                </c:pt>
                <c:pt idx="3">
                  <c:v>291500</c:v>
                </c:pt>
              </c:numCache>
            </c:numRef>
          </c:val>
          <c:extLst>
            <c:ext xmlns:c16="http://schemas.microsoft.com/office/drawing/2014/chart" uri="{C3380CC4-5D6E-409C-BE32-E72D297353CC}">
              <c16:uniqueId val="{00000000-3EC1-445F-9933-EA2F9040B8A5}"/>
            </c:ext>
          </c:extLst>
        </c:ser>
        <c:ser>
          <c:idx val="1"/>
          <c:order val="1"/>
          <c:tx>
            <c:strRef>
              <c:f>'pivot tables'!$F$14</c:f>
              <c:strCache>
                <c:ptCount val="1"/>
                <c:pt idx="0">
                  <c:v>Sum of Profit</c:v>
                </c:pt>
              </c:strCache>
            </c:strRef>
          </c:tx>
          <c:spPr>
            <a:solidFill>
              <a:schemeClr val="accent2"/>
            </a:solidFill>
            <a:ln>
              <a:noFill/>
            </a:ln>
            <a:effectLst/>
          </c:spPr>
          <c:cat>
            <c:strRef>
              <c:f>'pivot tables'!$D$15:$D$19</c:f>
              <c:strCache>
                <c:ptCount val="4"/>
                <c:pt idx="0">
                  <c:v>Aman</c:v>
                </c:pt>
                <c:pt idx="1">
                  <c:v>Arjun</c:v>
                </c:pt>
                <c:pt idx="2">
                  <c:v>Karan</c:v>
                </c:pt>
                <c:pt idx="3">
                  <c:v>Riya</c:v>
                </c:pt>
              </c:strCache>
            </c:strRef>
          </c:cat>
          <c:val>
            <c:numRef>
              <c:f>'pivot tables'!$F$15:$F$19</c:f>
              <c:numCache>
                <c:formatCode>General</c:formatCode>
                <c:ptCount val="4"/>
                <c:pt idx="0">
                  <c:v>40500</c:v>
                </c:pt>
                <c:pt idx="1">
                  <c:v>49700</c:v>
                </c:pt>
                <c:pt idx="2">
                  <c:v>48900</c:v>
                </c:pt>
                <c:pt idx="3">
                  <c:v>61500</c:v>
                </c:pt>
              </c:numCache>
            </c:numRef>
          </c:val>
          <c:extLst>
            <c:ext xmlns:c16="http://schemas.microsoft.com/office/drawing/2014/chart" uri="{C3380CC4-5D6E-409C-BE32-E72D297353CC}">
              <c16:uniqueId val="{00000001-3EC1-445F-9933-EA2F9040B8A5}"/>
            </c:ext>
          </c:extLst>
        </c:ser>
        <c:ser>
          <c:idx val="2"/>
          <c:order val="2"/>
          <c:tx>
            <c:strRef>
              <c:f>'pivot tables'!$G$14</c:f>
              <c:strCache>
                <c:ptCount val="1"/>
                <c:pt idx="0">
                  <c:v>Sum of Units Sold</c:v>
                </c:pt>
              </c:strCache>
            </c:strRef>
          </c:tx>
          <c:spPr>
            <a:solidFill>
              <a:schemeClr val="accent3"/>
            </a:solidFill>
            <a:ln>
              <a:noFill/>
            </a:ln>
            <a:effectLst/>
          </c:spPr>
          <c:cat>
            <c:strRef>
              <c:f>'pivot tables'!$D$15:$D$19</c:f>
              <c:strCache>
                <c:ptCount val="4"/>
                <c:pt idx="0">
                  <c:v>Aman</c:v>
                </c:pt>
                <c:pt idx="1">
                  <c:v>Arjun</c:v>
                </c:pt>
                <c:pt idx="2">
                  <c:v>Karan</c:v>
                </c:pt>
                <c:pt idx="3">
                  <c:v>Riya</c:v>
                </c:pt>
              </c:strCache>
            </c:strRef>
          </c:cat>
          <c:val>
            <c:numRef>
              <c:f>'pivot tables'!$G$15:$G$19</c:f>
              <c:numCache>
                <c:formatCode>General</c:formatCode>
                <c:ptCount val="4"/>
                <c:pt idx="0">
                  <c:v>29</c:v>
                </c:pt>
                <c:pt idx="1">
                  <c:v>26</c:v>
                </c:pt>
                <c:pt idx="2">
                  <c:v>21</c:v>
                </c:pt>
                <c:pt idx="3">
                  <c:v>23</c:v>
                </c:pt>
              </c:numCache>
            </c:numRef>
          </c:val>
          <c:extLst>
            <c:ext xmlns:c16="http://schemas.microsoft.com/office/drawing/2014/chart" uri="{C3380CC4-5D6E-409C-BE32-E72D297353CC}">
              <c16:uniqueId val="{00000002-3EC1-445F-9933-EA2F9040B8A5}"/>
            </c:ext>
          </c:extLst>
        </c:ser>
        <c:dLbls>
          <c:showLegendKey val="0"/>
          <c:showVal val="0"/>
          <c:showCatName val="0"/>
          <c:showSerName val="0"/>
          <c:showPercent val="0"/>
          <c:showBubbleSize val="0"/>
        </c:dLbls>
        <c:axId val="952694960"/>
        <c:axId val="952694000"/>
      </c:areaChart>
      <c:catAx>
        <c:axId val="95269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94000"/>
        <c:crosses val="autoZero"/>
        <c:auto val="1"/>
        <c:lblAlgn val="ctr"/>
        <c:lblOffset val="100"/>
        <c:noMultiLvlLbl val="0"/>
      </c:catAx>
      <c:valAx>
        <c:axId val="9526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694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tables!CITY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tables'!$A$4:$A$8</c:f>
              <c:strCache>
                <c:ptCount val="4"/>
                <c:pt idx="0">
                  <c:v>Delhi</c:v>
                </c:pt>
                <c:pt idx="1">
                  <c:v>Jaipur</c:v>
                </c:pt>
                <c:pt idx="2">
                  <c:v>Mumbai</c:v>
                </c:pt>
                <c:pt idx="3">
                  <c:v>Pune</c:v>
                </c:pt>
              </c:strCache>
            </c:strRef>
          </c:cat>
          <c:val>
            <c:numRef>
              <c:f>'pivot tables'!$B$4:$B$8</c:f>
              <c:numCache>
                <c:formatCode>General</c:formatCode>
                <c:ptCount val="4"/>
                <c:pt idx="0">
                  <c:v>360300</c:v>
                </c:pt>
                <c:pt idx="1">
                  <c:v>244400</c:v>
                </c:pt>
                <c:pt idx="2">
                  <c:v>232200</c:v>
                </c:pt>
                <c:pt idx="3">
                  <c:v>142700</c:v>
                </c:pt>
              </c:numCache>
            </c:numRef>
          </c:val>
          <c:smooth val="0"/>
          <c:extLst>
            <c:ext xmlns:c16="http://schemas.microsoft.com/office/drawing/2014/chart" uri="{C3380CC4-5D6E-409C-BE32-E72D297353CC}">
              <c16:uniqueId val="{00000000-6F5A-4872-A336-DCD678E81907}"/>
            </c:ext>
          </c:extLst>
        </c:ser>
        <c:dLbls>
          <c:showLegendKey val="0"/>
          <c:showVal val="0"/>
          <c:showCatName val="0"/>
          <c:showSerName val="0"/>
          <c:showPercent val="0"/>
          <c:showBubbleSize val="0"/>
        </c:dLbls>
        <c:smooth val="0"/>
        <c:axId val="1169132848"/>
        <c:axId val="1029922368"/>
      </c:lineChart>
      <c:catAx>
        <c:axId val="116913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22368"/>
        <c:crosses val="autoZero"/>
        <c:auto val="1"/>
        <c:lblAlgn val="ctr"/>
        <c:lblOffset val="100"/>
        <c:noMultiLvlLbl val="0"/>
      </c:catAx>
      <c:valAx>
        <c:axId val="102992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3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tables!MONTHLY SALES</c:name>
    <c:fmtId val="1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400"/>
              <a:t>Sales</a:t>
            </a:r>
            <a:r>
              <a:rPr lang="en-US" sz="1400" baseline="0"/>
              <a:t> By Month</a:t>
            </a:r>
            <a:endParaRPr lang="en-US" sz="1400"/>
          </a:p>
        </c:rich>
      </c:tx>
      <c:layout>
        <c:manualLayout>
          <c:xMode val="edge"/>
          <c:yMode val="edge"/>
          <c:x val="0.17598615916955018"/>
          <c:y val="3.90243902439024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5150260196714145E-2"/>
          <c:y val="0.28809756097560973"/>
          <c:w val="0.43577854671280269"/>
          <c:h val="0.61434146341463403"/>
        </c:manualLayout>
      </c:layout>
      <c:pieChart>
        <c:varyColors val="1"/>
        <c:ser>
          <c:idx val="0"/>
          <c:order val="0"/>
          <c:tx>
            <c:strRef>
              <c:f>'pivot tables'!$H$3</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02-484B-8465-43A486DC84F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02-484B-8465-43A486DC84FF}"/>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402-484B-8465-43A486DC84FF}"/>
              </c:ext>
            </c:extLst>
          </c:dPt>
          <c:cat>
            <c:strRef>
              <c:f>'pivot tables'!$G$4:$G$7</c:f>
              <c:strCache>
                <c:ptCount val="3"/>
                <c:pt idx="0">
                  <c:v>Jan</c:v>
                </c:pt>
                <c:pt idx="1">
                  <c:v>Feb</c:v>
                </c:pt>
                <c:pt idx="2">
                  <c:v>Mar</c:v>
                </c:pt>
              </c:strCache>
            </c:strRef>
          </c:cat>
          <c:val>
            <c:numRef>
              <c:f>'pivot tables'!$H$4:$H$7</c:f>
              <c:numCache>
                <c:formatCode>General</c:formatCode>
                <c:ptCount val="3"/>
                <c:pt idx="0">
                  <c:v>357200</c:v>
                </c:pt>
                <c:pt idx="1">
                  <c:v>245800</c:v>
                </c:pt>
                <c:pt idx="2">
                  <c:v>376600</c:v>
                </c:pt>
              </c:numCache>
            </c:numRef>
          </c:val>
          <c:extLst>
            <c:ext xmlns:c16="http://schemas.microsoft.com/office/drawing/2014/chart" uri="{C3380CC4-5D6E-409C-BE32-E72D297353CC}">
              <c16:uniqueId val="{00000006-3402-484B-8465-43A486DC84F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53178214314906"/>
          <c:y val="0.39221739965431152"/>
          <c:w val="0.35315968721902846"/>
          <c:h val="0.49390589590935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tables!CATEGORY SALES</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300"/>
              <a:t>Sales</a:t>
            </a:r>
            <a:r>
              <a:rPr lang="en-US" sz="1300" baseline="0"/>
              <a:t> By Category</a:t>
            </a:r>
            <a:endParaRPr lang="en-US" sz="1300"/>
          </a:p>
        </c:rich>
      </c:tx>
      <c:layout>
        <c:manualLayout>
          <c:xMode val="edge"/>
          <c:yMode val="edge"/>
          <c:x val="0.15800997193689889"/>
          <c:y val="4.90196456844570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9.4890880854426068E-2"/>
          <c:y val="0.36362773168730256"/>
          <c:w val="0.37307903986050189"/>
          <c:h val="0.52852904780689192"/>
        </c:manualLayout>
      </c:layout>
      <c:doughnutChart>
        <c:varyColors val="1"/>
        <c:ser>
          <c:idx val="0"/>
          <c:order val="0"/>
          <c:tx>
            <c:strRef>
              <c:f>'pivot tables'!$K$3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2920-4343-8CDA-9FB7E967AC0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920-4343-8CDA-9FB7E967AC0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2920-4343-8CDA-9FB7E967AC01}"/>
              </c:ext>
            </c:extLst>
          </c:dPt>
          <c:cat>
            <c:strRef>
              <c:f>'pivot tables'!$J$4:$J$7</c:f>
              <c:strCache>
                <c:ptCount val="3"/>
                <c:pt idx="0">
                  <c:v>Accessories</c:v>
                </c:pt>
                <c:pt idx="1">
                  <c:v>Electronics</c:v>
                </c:pt>
                <c:pt idx="2">
                  <c:v>Fashion</c:v>
                </c:pt>
              </c:strCache>
            </c:strRef>
          </c:cat>
          <c:val>
            <c:numRef>
              <c:f>'pivot tables'!$K$4:$K$7</c:f>
              <c:numCache>
                <c:formatCode>General</c:formatCode>
                <c:ptCount val="3"/>
                <c:pt idx="0">
                  <c:v>54000</c:v>
                </c:pt>
                <c:pt idx="1">
                  <c:v>861500</c:v>
                </c:pt>
                <c:pt idx="2">
                  <c:v>64100</c:v>
                </c:pt>
              </c:numCache>
            </c:numRef>
          </c:val>
          <c:extLst>
            <c:ext xmlns:c16="http://schemas.microsoft.com/office/drawing/2014/chart" uri="{C3380CC4-5D6E-409C-BE32-E72D297353CC}">
              <c16:uniqueId val="{00000006-2920-4343-8CDA-9FB7E967AC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4209955589461356"/>
          <c:y val="0.35583090615323926"/>
          <c:w val="0.40945753753099201"/>
          <c:h val="0.5441226988750184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tables!PRODUCT PROFIT</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500"/>
              <a:t>Profit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FF"/>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rgbClr val="0066FF"/>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Bag</c:v>
                </c:pt>
                <c:pt idx="1">
                  <c:v>Headphones</c:v>
                </c:pt>
                <c:pt idx="2">
                  <c:v>Laptop</c:v>
                </c:pt>
                <c:pt idx="3">
                  <c:v>Mobile</c:v>
                </c:pt>
                <c:pt idx="4">
                  <c:v>Shoes</c:v>
                </c:pt>
                <c:pt idx="5">
                  <c:v>Tablet</c:v>
                </c:pt>
                <c:pt idx="6">
                  <c:v>Watch</c:v>
                </c:pt>
              </c:strCache>
            </c:strRef>
          </c:cat>
          <c:val>
            <c:numRef>
              <c:f>'pivot tables'!$E$4:$E$11</c:f>
              <c:numCache>
                <c:formatCode>General</c:formatCode>
                <c:ptCount val="7"/>
                <c:pt idx="0">
                  <c:v>7700</c:v>
                </c:pt>
                <c:pt idx="1">
                  <c:v>8500</c:v>
                </c:pt>
                <c:pt idx="2">
                  <c:v>52000</c:v>
                </c:pt>
                <c:pt idx="3">
                  <c:v>62000</c:v>
                </c:pt>
                <c:pt idx="4">
                  <c:v>10200</c:v>
                </c:pt>
                <c:pt idx="5">
                  <c:v>48000</c:v>
                </c:pt>
                <c:pt idx="6">
                  <c:v>12200</c:v>
                </c:pt>
              </c:numCache>
            </c:numRef>
          </c:val>
          <c:extLst>
            <c:ext xmlns:c16="http://schemas.microsoft.com/office/drawing/2014/chart" uri="{C3380CC4-5D6E-409C-BE32-E72D297353CC}">
              <c16:uniqueId val="{00000000-DF57-4B26-A341-9D310B3854C1}"/>
            </c:ext>
          </c:extLst>
        </c:ser>
        <c:dLbls>
          <c:dLblPos val="outEnd"/>
          <c:showLegendKey val="0"/>
          <c:showVal val="1"/>
          <c:showCatName val="0"/>
          <c:showSerName val="0"/>
          <c:showPercent val="0"/>
          <c:showBubbleSize val="0"/>
        </c:dLbls>
        <c:gapWidth val="182"/>
        <c:axId val="1510726928"/>
        <c:axId val="1510725008"/>
      </c:barChart>
      <c:catAx>
        <c:axId val="151072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10725008"/>
        <c:crosses val="autoZero"/>
        <c:auto val="1"/>
        <c:lblAlgn val="ctr"/>
        <c:lblOffset val="100"/>
        <c:noMultiLvlLbl val="0"/>
      </c:catAx>
      <c:valAx>
        <c:axId val="1510725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107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tables!SALES PERSON</c:name>
    <c:fmtId val="5"/>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600" baseline="0"/>
              <a:t>Units Sold By Sales Person</a:t>
            </a:r>
            <a:endParaRPr lang="en-US" sz="1600"/>
          </a:p>
        </c:rich>
      </c:tx>
      <c:layout>
        <c:manualLayout>
          <c:xMode val="edge"/>
          <c:yMode val="edge"/>
          <c:x val="0.24717770034843203"/>
          <c:y val="2.89854907078108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81231309500948"/>
          <c:y val="0.26876796258817615"/>
          <c:w val="0.73736645724162531"/>
          <c:h val="0.56312874407808733"/>
        </c:manualLayout>
      </c:layout>
      <c:barChart>
        <c:barDir val="col"/>
        <c:grouping val="clustered"/>
        <c:varyColors val="0"/>
        <c:ser>
          <c:idx val="0"/>
          <c:order val="0"/>
          <c:tx>
            <c:strRef>
              <c:f>'pivot tables'!$B$14</c:f>
              <c:strCache>
                <c:ptCount val="1"/>
                <c:pt idx="0">
                  <c:v>Total</c:v>
                </c:pt>
              </c:strCache>
            </c:strRef>
          </c:tx>
          <c:spPr>
            <a:solidFill>
              <a:srgbClr val="00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tables'!$A$15:$A$19</c:f>
              <c:strCache>
                <c:ptCount val="4"/>
                <c:pt idx="0">
                  <c:v>Aman</c:v>
                </c:pt>
                <c:pt idx="1">
                  <c:v>Arjun</c:v>
                </c:pt>
                <c:pt idx="2">
                  <c:v>Karan</c:v>
                </c:pt>
                <c:pt idx="3">
                  <c:v>Riya</c:v>
                </c:pt>
              </c:strCache>
            </c:strRef>
          </c:cat>
          <c:val>
            <c:numRef>
              <c:f>'pivot tables'!$B$15:$B$19</c:f>
              <c:numCache>
                <c:formatCode>General</c:formatCode>
                <c:ptCount val="4"/>
                <c:pt idx="0">
                  <c:v>29</c:v>
                </c:pt>
                <c:pt idx="1">
                  <c:v>26</c:v>
                </c:pt>
                <c:pt idx="2">
                  <c:v>21</c:v>
                </c:pt>
                <c:pt idx="3">
                  <c:v>23</c:v>
                </c:pt>
              </c:numCache>
            </c:numRef>
          </c:val>
          <c:extLst>
            <c:ext xmlns:c16="http://schemas.microsoft.com/office/drawing/2014/chart" uri="{C3380CC4-5D6E-409C-BE32-E72D297353CC}">
              <c16:uniqueId val="{00000000-87A8-47D8-B9D9-D8E5EFF45F87}"/>
            </c:ext>
          </c:extLst>
        </c:ser>
        <c:dLbls>
          <c:dLblPos val="outEnd"/>
          <c:showLegendKey val="0"/>
          <c:showVal val="1"/>
          <c:showCatName val="0"/>
          <c:showSerName val="0"/>
          <c:showPercent val="0"/>
          <c:showBubbleSize val="0"/>
        </c:dLbls>
        <c:gapWidth val="219"/>
        <c:overlap val="-27"/>
        <c:axId val="1559559792"/>
        <c:axId val="1559555952"/>
      </c:barChart>
      <c:catAx>
        <c:axId val="155955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59555952"/>
        <c:crosses val="autoZero"/>
        <c:auto val="1"/>
        <c:lblAlgn val="ctr"/>
        <c:lblOffset val="100"/>
        <c:noMultiLvlLbl val="0"/>
      </c:catAx>
      <c:valAx>
        <c:axId val="155955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5955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9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[Sales-Dashboard.xlsx]pivot tables!S.P , SALES , PROFIT , UNIT SOLD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Sales</a:t>
            </a:r>
            <a:r>
              <a:rPr lang="en-GB" b="1" baseline="0">
                <a:solidFill>
                  <a:sysClr val="windowText" lastClr="000000"/>
                </a:solidFill>
              </a:rPr>
              <a:t> Person's Performance</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tables'!$E$14</c:f>
              <c:strCache>
                <c:ptCount val="1"/>
                <c:pt idx="0">
                  <c:v>Sum of Sales</c:v>
                </c:pt>
              </c:strCache>
            </c:strRef>
          </c:tx>
          <c:spPr>
            <a:solidFill>
              <a:srgbClr val="0066FF"/>
            </a:solidFill>
            <a:ln>
              <a:noFill/>
            </a:ln>
            <a:effectLst/>
          </c:spPr>
          <c:cat>
            <c:strRef>
              <c:f>'pivot tables'!$D$15:$D$19</c:f>
              <c:strCache>
                <c:ptCount val="4"/>
                <c:pt idx="0">
                  <c:v>Aman</c:v>
                </c:pt>
                <c:pt idx="1">
                  <c:v>Arjun</c:v>
                </c:pt>
                <c:pt idx="2">
                  <c:v>Karan</c:v>
                </c:pt>
                <c:pt idx="3">
                  <c:v>Riya</c:v>
                </c:pt>
              </c:strCache>
            </c:strRef>
          </c:cat>
          <c:val>
            <c:numRef>
              <c:f>'pivot tables'!$E$15:$E$19</c:f>
              <c:numCache>
                <c:formatCode>General</c:formatCode>
                <c:ptCount val="4"/>
                <c:pt idx="0">
                  <c:v>203100</c:v>
                </c:pt>
                <c:pt idx="1">
                  <c:v>242800</c:v>
                </c:pt>
                <c:pt idx="2">
                  <c:v>242200</c:v>
                </c:pt>
                <c:pt idx="3">
                  <c:v>291500</c:v>
                </c:pt>
              </c:numCache>
            </c:numRef>
          </c:val>
          <c:extLst>
            <c:ext xmlns:c16="http://schemas.microsoft.com/office/drawing/2014/chart" uri="{C3380CC4-5D6E-409C-BE32-E72D297353CC}">
              <c16:uniqueId val="{00000000-C78D-4051-8F1D-70CF7141ECC3}"/>
            </c:ext>
          </c:extLst>
        </c:ser>
        <c:ser>
          <c:idx val="1"/>
          <c:order val="1"/>
          <c:tx>
            <c:strRef>
              <c:f>'pivot tables'!$F$14</c:f>
              <c:strCache>
                <c:ptCount val="1"/>
                <c:pt idx="0">
                  <c:v>Sum of Profit</c:v>
                </c:pt>
              </c:strCache>
            </c:strRef>
          </c:tx>
          <c:spPr>
            <a:solidFill>
              <a:srgbClr val="0099FF"/>
            </a:solidFill>
            <a:ln>
              <a:noFill/>
            </a:ln>
            <a:effectLst/>
          </c:spPr>
          <c:cat>
            <c:strRef>
              <c:f>'pivot tables'!$D$15:$D$19</c:f>
              <c:strCache>
                <c:ptCount val="4"/>
                <c:pt idx="0">
                  <c:v>Aman</c:v>
                </c:pt>
                <c:pt idx="1">
                  <c:v>Arjun</c:v>
                </c:pt>
                <c:pt idx="2">
                  <c:v>Karan</c:v>
                </c:pt>
                <c:pt idx="3">
                  <c:v>Riya</c:v>
                </c:pt>
              </c:strCache>
            </c:strRef>
          </c:cat>
          <c:val>
            <c:numRef>
              <c:f>'pivot tables'!$F$15:$F$19</c:f>
              <c:numCache>
                <c:formatCode>General</c:formatCode>
                <c:ptCount val="4"/>
                <c:pt idx="0">
                  <c:v>40500</c:v>
                </c:pt>
                <c:pt idx="1">
                  <c:v>49700</c:v>
                </c:pt>
                <c:pt idx="2">
                  <c:v>48900</c:v>
                </c:pt>
                <c:pt idx="3">
                  <c:v>61500</c:v>
                </c:pt>
              </c:numCache>
            </c:numRef>
          </c:val>
          <c:extLst>
            <c:ext xmlns:c16="http://schemas.microsoft.com/office/drawing/2014/chart" uri="{C3380CC4-5D6E-409C-BE32-E72D297353CC}">
              <c16:uniqueId val="{00000001-C78D-4051-8F1D-70CF7141ECC3}"/>
            </c:ext>
          </c:extLst>
        </c:ser>
        <c:ser>
          <c:idx val="2"/>
          <c:order val="2"/>
          <c:tx>
            <c:strRef>
              <c:f>'pivot tables'!$G$14</c:f>
              <c:strCache>
                <c:ptCount val="1"/>
                <c:pt idx="0">
                  <c:v>Sum of Units Sold</c:v>
                </c:pt>
              </c:strCache>
            </c:strRef>
          </c:tx>
          <c:spPr>
            <a:solidFill>
              <a:schemeClr val="accent5">
                <a:shade val="65000"/>
              </a:schemeClr>
            </a:solidFill>
            <a:ln>
              <a:noFill/>
            </a:ln>
            <a:effectLst/>
          </c:spPr>
          <c:cat>
            <c:strRef>
              <c:f>'pivot tables'!$D$15:$D$19</c:f>
              <c:strCache>
                <c:ptCount val="4"/>
                <c:pt idx="0">
                  <c:v>Aman</c:v>
                </c:pt>
                <c:pt idx="1">
                  <c:v>Arjun</c:v>
                </c:pt>
                <c:pt idx="2">
                  <c:v>Karan</c:v>
                </c:pt>
                <c:pt idx="3">
                  <c:v>Riya</c:v>
                </c:pt>
              </c:strCache>
            </c:strRef>
          </c:cat>
          <c:val>
            <c:numRef>
              <c:f>'pivot tables'!$G$15:$G$19</c:f>
              <c:numCache>
                <c:formatCode>General</c:formatCode>
                <c:ptCount val="4"/>
                <c:pt idx="0">
                  <c:v>29</c:v>
                </c:pt>
                <c:pt idx="1">
                  <c:v>26</c:v>
                </c:pt>
                <c:pt idx="2">
                  <c:v>21</c:v>
                </c:pt>
                <c:pt idx="3">
                  <c:v>23</c:v>
                </c:pt>
              </c:numCache>
            </c:numRef>
          </c:val>
          <c:extLst>
            <c:ext xmlns:c16="http://schemas.microsoft.com/office/drawing/2014/chart" uri="{C3380CC4-5D6E-409C-BE32-E72D297353CC}">
              <c16:uniqueId val="{00000002-C78D-4051-8F1D-70CF7141ECC3}"/>
            </c:ext>
          </c:extLst>
        </c:ser>
        <c:dLbls>
          <c:showLegendKey val="0"/>
          <c:showVal val="0"/>
          <c:showCatName val="0"/>
          <c:showSerName val="0"/>
          <c:showPercent val="0"/>
          <c:showBubbleSize val="0"/>
        </c:dLbls>
        <c:axId val="952694960"/>
        <c:axId val="952694000"/>
      </c:areaChart>
      <c:catAx>
        <c:axId val="95269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2694000"/>
        <c:crosses val="autoZero"/>
        <c:auto val="1"/>
        <c:lblAlgn val="ctr"/>
        <c:lblOffset val="100"/>
        <c:noMultiLvlLbl val="0"/>
      </c:catAx>
      <c:valAx>
        <c:axId val="9526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2694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99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[Sales-Dashboard.xlsx]pivot tables!CITY SALES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6FF"/>
          </a:solidFill>
          <a:ln>
            <a:noFill/>
          </a:ln>
          <a:effectLst/>
          <a:sp3d/>
        </c:spPr>
      </c:pivotFmt>
    </c:pivotFmts>
    <c:view3D>
      <c:rotX val="15"/>
      <c:rotY val="20"/>
      <c:rAngAx val="0"/>
    </c:view3D>
    <c:floor>
      <c:thickness val="0"/>
      <c:spPr>
        <a:noFill/>
        <a:ln>
          <a:noFill/>
        </a:ln>
        <a:effectLst/>
        <a:sp3d/>
      </c:spPr>
    </c:floor>
    <c:sideWall>
      <c:thickness val="0"/>
      <c:spPr>
        <a:solidFill>
          <a:srgbClr val="0066FF"/>
        </a:solidFill>
        <a:ln>
          <a:noFill/>
        </a:ln>
        <a:effectLst/>
        <a:sp3d/>
      </c:spPr>
    </c:sideWall>
    <c:backWall>
      <c:thickness val="0"/>
      <c:spPr>
        <a:solidFill>
          <a:srgbClr val="99CCFF"/>
        </a:solid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rgbClr val="0066FF"/>
            </a:solidFill>
            <a:ln>
              <a:noFill/>
            </a:ln>
            <a:effectLst/>
            <a:sp3d/>
          </c:spPr>
          <c:invertIfNegative val="0"/>
          <c:cat>
            <c:strRef>
              <c:f>'pivot tables'!$A$4:$A$8</c:f>
              <c:strCache>
                <c:ptCount val="4"/>
                <c:pt idx="0">
                  <c:v>Delhi</c:v>
                </c:pt>
                <c:pt idx="1">
                  <c:v>Jaipur</c:v>
                </c:pt>
                <c:pt idx="2">
                  <c:v>Mumbai</c:v>
                </c:pt>
                <c:pt idx="3">
                  <c:v>Pune</c:v>
                </c:pt>
              </c:strCache>
            </c:strRef>
          </c:cat>
          <c:val>
            <c:numRef>
              <c:f>'pivot tables'!$B$4:$B$8</c:f>
              <c:numCache>
                <c:formatCode>General</c:formatCode>
                <c:ptCount val="4"/>
                <c:pt idx="0">
                  <c:v>360300</c:v>
                </c:pt>
                <c:pt idx="1">
                  <c:v>244400</c:v>
                </c:pt>
                <c:pt idx="2">
                  <c:v>232200</c:v>
                </c:pt>
                <c:pt idx="3">
                  <c:v>142700</c:v>
                </c:pt>
              </c:numCache>
            </c:numRef>
          </c:val>
          <c:extLst>
            <c:ext xmlns:c16="http://schemas.microsoft.com/office/drawing/2014/chart" uri="{C3380CC4-5D6E-409C-BE32-E72D297353CC}">
              <c16:uniqueId val="{00000000-40E8-4701-B54C-3E18431DD99F}"/>
            </c:ext>
          </c:extLst>
        </c:ser>
        <c:dLbls>
          <c:showLegendKey val="0"/>
          <c:showVal val="0"/>
          <c:showCatName val="0"/>
          <c:showSerName val="0"/>
          <c:showPercent val="0"/>
          <c:showBubbleSize val="0"/>
        </c:dLbls>
        <c:gapWidth val="150"/>
        <c:shape val="box"/>
        <c:axId val="1169132848"/>
        <c:axId val="1029922368"/>
        <c:axId val="0"/>
      </c:bar3DChart>
      <c:catAx>
        <c:axId val="116913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29922368"/>
        <c:crosses val="autoZero"/>
        <c:auto val="1"/>
        <c:lblAlgn val="ctr"/>
        <c:lblOffset val="100"/>
        <c:noMultiLvlLbl val="0"/>
      </c:catAx>
      <c:valAx>
        <c:axId val="102992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913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 tables'!A1"/><Relationship Id="rId3" Type="http://schemas.openxmlformats.org/officeDocument/2006/relationships/chart" Target="../charts/chart9.xml"/><Relationship Id="rId7" Type="http://schemas.openxmlformats.org/officeDocument/2006/relationships/hyperlink" Target="#'sales data1'!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96483</xdr:colOff>
      <xdr:row>8</xdr:row>
      <xdr:rowOff>33866</xdr:rowOff>
    </xdr:from>
    <xdr:to>
      <xdr:col>10</xdr:col>
      <xdr:colOff>668866</xdr:colOff>
      <xdr:row>21</xdr:row>
      <xdr:rowOff>14111</xdr:rowOff>
    </xdr:to>
    <xdr:graphicFrame macro="">
      <xdr:nvGraphicFramePr>
        <xdr:cNvPr id="5" name="Chart 4">
          <a:extLst>
            <a:ext uri="{FF2B5EF4-FFF2-40B4-BE49-F238E27FC236}">
              <a16:creationId xmlns:a16="http://schemas.microsoft.com/office/drawing/2014/main" id="{5668EF65-4FCB-C47C-CBBE-649C4A136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85125</xdr:colOff>
      <xdr:row>2</xdr:row>
      <xdr:rowOff>35277</xdr:rowOff>
    </xdr:from>
    <xdr:to>
      <xdr:col>16</xdr:col>
      <xdr:colOff>586031</xdr:colOff>
      <xdr:row>19</xdr:row>
      <xdr:rowOff>1447</xdr:rowOff>
    </xdr:to>
    <xdr:graphicFrame macro="">
      <xdr:nvGraphicFramePr>
        <xdr:cNvPr id="2" name="Chart 1">
          <a:extLst>
            <a:ext uri="{FF2B5EF4-FFF2-40B4-BE49-F238E27FC236}">
              <a16:creationId xmlns:a16="http://schemas.microsoft.com/office/drawing/2014/main" id="{C7329F24-C341-F8E1-B884-5FF5DDDF8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345723</xdr:colOff>
      <xdr:row>21</xdr:row>
      <xdr:rowOff>77611</xdr:rowOff>
    </xdr:from>
    <xdr:to>
      <xdr:col>10</xdr:col>
      <xdr:colOff>613835</xdr:colOff>
      <xdr:row>33</xdr:row>
      <xdr:rowOff>59266</xdr:rowOff>
    </xdr:to>
    <xdr:graphicFrame macro="">
      <xdr:nvGraphicFramePr>
        <xdr:cNvPr id="3" name="Chart 2">
          <a:extLst>
            <a:ext uri="{FF2B5EF4-FFF2-40B4-BE49-F238E27FC236}">
              <a16:creationId xmlns:a16="http://schemas.microsoft.com/office/drawing/2014/main" id="{06158807-65F0-E4A2-229C-4CC339EAA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70556</xdr:colOff>
      <xdr:row>19</xdr:row>
      <xdr:rowOff>98777</xdr:rowOff>
    </xdr:from>
    <xdr:to>
      <xdr:col>17</xdr:col>
      <xdr:colOff>42332</xdr:colOff>
      <xdr:row>33</xdr:row>
      <xdr:rowOff>129821</xdr:rowOff>
    </xdr:to>
    <xdr:graphicFrame macro="">
      <xdr:nvGraphicFramePr>
        <xdr:cNvPr id="4" name="Chart 3">
          <a:extLst>
            <a:ext uri="{FF2B5EF4-FFF2-40B4-BE49-F238E27FC236}">
              <a16:creationId xmlns:a16="http://schemas.microsoft.com/office/drawing/2014/main" id="{97487F5F-F9D2-BB98-B56B-2B5257F48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134056</xdr:colOff>
      <xdr:row>19</xdr:row>
      <xdr:rowOff>88901</xdr:rowOff>
    </xdr:from>
    <xdr:to>
      <xdr:col>7</xdr:col>
      <xdr:colOff>134056</xdr:colOff>
      <xdr:row>33</xdr:row>
      <xdr:rowOff>134056</xdr:rowOff>
    </xdr:to>
    <xdr:graphicFrame macro="">
      <xdr:nvGraphicFramePr>
        <xdr:cNvPr id="6" name="Chart 5">
          <a:extLst>
            <a:ext uri="{FF2B5EF4-FFF2-40B4-BE49-F238E27FC236}">
              <a16:creationId xmlns:a16="http://schemas.microsoft.com/office/drawing/2014/main" id="{09CCBBC6-E7C9-A8F0-06B0-DE6E801A2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127001</xdr:colOff>
      <xdr:row>19</xdr:row>
      <xdr:rowOff>176389</xdr:rowOff>
    </xdr:from>
    <xdr:to>
      <xdr:col>2</xdr:col>
      <xdr:colOff>564445</xdr:colOff>
      <xdr:row>32</xdr:row>
      <xdr:rowOff>42333</xdr:rowOff>
    </xdr:to>
    <xdr:graphicFrame macro="">
      <xdr:nvGraphicFramePr>
        <xdr:cNvPr id="7" name="Chart 6">
          <a:extLst>
            <a:ext uri="{FF2B5EF4-FFF2-40B4-BE49-F238E27FC236}">
              <a16:creationId xmlns:a16="http://schemas.microsoft.com/office/drawing/2014/main" id="{4D7C98A7-292D-A5A6-4489-96BBFBFC3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31750</xdr:colOff>
      <xdr:row>22</xdr:row>
      <xdr:rowOff>38100</xdr:rowOff>
    </xdr:to>
    <xdr:sp macro="" textlink="">
      <xdr:nvSpPr>
        <xdr:cNvPr id="2" name="Rectangle 1">
          <a:extLst>
            <a:ext uri="{FF2B5EF4-FFF2-40B4-BE49-F238E27FC236}">
              <a16:creationId xmlns:a16="http://schemas.microsoft.com/office/drawing/2014/main" id="{FD6A0F77-19BB-9601-BD1C-CAA94C566F71}"/>
            </a:ext>
          </a:extLst>
        </xdr:cNvPr>
        <xdr:cNvSpPr/>
      </xdr:nvSpPr>
      <xdr:spPr>
        <a:xfrm>
          <a:off x="0" y="0"/>
          <a:ext cx="11614150" cy="40894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oneCellAnchor>
    <xdr:from>
      <xdr:col>8</xdr:col>
      <xdr:colOff>0</xdr:colOff>
      <xdr:row>0</xdr:row>
      <xdr:rowOff>0</xdr:rowOff>
    </xdr:from>
    <xdr:ext cx="6718300" cy="552450"/>
    <xdr:sp macro="" textlink="">
      <xdr:nvSpPr>
        <xdr:cNvPr id="23" name="TextBox 22">
          <a:extLst>
            <a:ext uri="{FF2B5EF4-FFF2-40B4-BE49-F238E27FC236}">
              <a16:creationId xmlns:a16="http://schemas.microsoft.com/office/drawing/2014/main" id="{8D14C1A0-71D8-3F2D-5AFA-B55214FEA0A7}"/>
            </a:ext>
          </a:extLst>
        </xdr:cNvPr>
        <xdr:cNvSpPr txBox="1"/>
      </xdr:nvSpPr>
      <xdr:spPr>
        <a:xfrm>
          <a:off x="4876800" y="0"/>
          <a:ext cx="6718300" cy="552450"/>
        </a:xfrm>
        <a:prstGeom prst="rect">
          <a:avLst/>
        </a:prstGeom>
        <a:solidFill>
          <a:srgbClr val="66CC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8</xdr:col>
      <xdr:colOff>82550</xdr:colOff>
      <xdr:row>1</xdr:row>
      <xdr:rowOff>0</xdr:rowOff>
    </xdr:from>
    <xdr:ext cx="1143000" cy="283610"/>
    <xdr:sp macro="" textlink="'sales data1'!M2">
      <xdr:nvSpPr>
        <xdr:cNvPr id="3" name="TextBox 2">
          <a:extLst>
            <a:ext uri="{FF2B5EF4-FFF2-40B4-BE49-F238E27FC236}">
              <a16:creationId xmlns:a16="http://schemas.microsoft.com/office/drawing/2014/main" id="{14106F29-28F9-3799-8E06-612D1A48A4B5}"/>
            </a:ext>
          </a:extLst>
        </xdr:cNvPr>
        <xdr:cNvSpPr txBox="1"/>
      </xdr:nvSpPr>
      <xdr:spPr>
        <a:xfrm>
          <a:off x="4959350" y="184150"/>
          <a:ext cx="1143000" cy="28361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A3A6EE3A-D279-42FE-B7B9-A480DAAC726A}" type="TxLink">
            <a:rPr lang="en-US" sz="1100" b="1" i="0" u="none" strike="noStrike">
              <a:solidFill>
                <a:srgbClr val="000000"/>
              </a:solidFill>
              <a:latin typeface="Calibri"/>
              <a:ea typeface="Calibri"/>
              <a:cs typeface="Calibri"/>
            </a:rPr>
            <a:pPr algn="ctr"/>
            <a:t>979600</a:t>
          </a:fld>
          <a:endParaRPr lang="en-GB" sz="1100" b="1"/>
        </a:p>
      </xdr:txBody>
    </xdr:sp>
    <xdr:clientData/>
  </xdr:oneCellAnchor>
  <xdr:twoCellAnchor>
    <xdr:from>
      <xdr:col>12</xdr:col>
      <xdr:colOff>463550</xdr:colOff>
      <xdr:row>1</xdr:row>
      <xdr:rowOff>19050</xdr:rowOff>
    </xdr:from>
    <xdr:to>
      <xdr:col>14</xdr:col>
      <xdr:colOff>425450</xdr:colOff>
      <xdr:row>2</xdr:row>
      <xdr:rowOff>114298</xdr:rowOff>
    </xdr:to>
    <xdr:sp macro="" textlink="'sales data1'!M4">
      <xdr:nvSpPr>
        <xdr:cNvPr id="4" name="TextBox 3">
          <a:extLst>
            <a:ext uri="{FF2B5EF4-FFF2-40B4-BE49-F238E27FC236}">
              <a16:creationId xmlns:a16="http://schemas.microsoft.com/office/drawing/2014/main" id="{5D8BCF44-CC4D-B9F0-3A1D-145A84EB0D0C}"/>
            </a:ext>
          </a:extLst>
        </xdr:cNvPr>
        <xdr:cNvSpPr txBox="1"/>
      </xdr:nvSpPr>
      <xdr:spPr>
        <a:xfrm rot="10800000" flipV="1">
          <a:off x="7778750" y="203200"/>
          <a:ext cx="1181100" cy="279398"/>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3F62919-16AA-4C6D-B0EF-5A5FB1C46CE5}" type="TxLink">
            <a:rPr lang="en-US" sz="1100" b="1" i="0" u="none" strike="noStrike">
              <a:solidFill>
                <a:srgbClr val="000000"/>
              </a:solidFill>
              <a:latin typeface="Calibri"/>
              <a:ea typeface="Calibri"/>
              <a:cs typeface="Calibri"/>
            </a:rPr>
            <a:pPr algn="ctr"/>
            <a:t>200600</a:t>
          </a:fld>
          <a:endParaRPr lang="en-GB" sz="1100" b="1"/>
        </a:p>
      </xdr:txBody>
    </xdr:sp>
    <xdr:clientData/>
  </xdr:twoCellAnchor>
  <xdr:oneCellAnchor>
    <xdr:from>
      <xdr:col>17</xdr:col>
      <xdr:colOff>101600</xdr:colOff>
      <xdr:row>1</xdr:row>
      <xdr:rowOff>44450</xdr:rowOff>
    </xdr:from>
    <xdr:ext cx="1092200" cy="264560"/>
    <xdr:sp macro="" textlink="'sales data1'!M10">
      <xdr:nvSpPr>
        <xdr:cNvPr id="5" name="TextBox 4">
          <a:extLst>
            <a:ext uri="{FF2B5EF4-FFF2-40B4-BE49-F238E27FC236}">
              <a16:creationId xmlns:a16="http://schemas.microsoft.com/office/drawing/2014/main" id="{B07ED689-7EF4-6BC3-DBD7-CC230EF72D06}"/>
            </a:ext>
          </a:extLst>
        </xdr:cNvPr>
        <xdr:cNvSpPr txBox="1"/>
      </xdr:nvSpPr>
      <xdr:spPr>
        <a:xfrm>
          <a:off x="10464800" y="228600"/>
          <a:ext cx="10922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fld id="{751747C8-D926-4700-A4BB-FEFE7965DC2D}" type="TxLink">
            <a:rPr lang="en-US" sz="1100" b="1" i="0" u="none" strike="noStrike">
              <a:solidFill>
                <a:srgbClr val="000000"/>
              </a:solidFill>
              <a:latin typeface="Calibri"/>
              <a:ea typeface="Calibri"/>
              <a:cs typeface="Calibri"/>
            </a:rPr>
            <a:pPr algn="ctr"/>
            <a:t>99</a:t>
          </a:fld>
          <a:endParaRPr lang="en-GB" sz="1100" b="1"/>
        </a:p>
      </xdr:txBody>
    </xdr:sp>
    <xdr:clientData/>
  </xdr:oneCellAnchor>
  <xdr:oneCellAnchor>
    <xdr:from>
      <xdr:col>8</xdr:col>
      <xdr:colOff>127000</xdr:colOff>
      <xdr:row>0</xdr:row>
      <xdr:rowOff>44450</xdr:rowOff>
    </xdr:from>
    <xdr:ext cx="1047750" cy="209550"/>
    <xdr:sp macro="" textlink="">
      <xdr:nvSpPr>
        <xdr:cNvPr id="6" name="TextBox 5">
          <a:extLst>
            <a:ext uri="{FF2B5EF4-FFF2-40B4-BE49-F238E27FC236}">
              <a16:creationId xmlns:a16="http://schemas.microsoft.com/office/drawing/2014/main" id="{DF3A202A-86ED-C81E-A438-07485D7219D5}"/>
            </a:ext>
          </a:extLst>
        </xdr:cNvPr>
        <xdr:cNvSpPr txBox="1"/>
      </xdr:nvSpPr>
      <xdr:spPr>
        <a:xfrm>
          <a:off x="5003800" y="44450"/>
          <a:ext cx="1047750" cy="209550"/>
        </a:xfrm>
        <a:prstGeom prst="rect">
          <a:avLst/>
        </a:prstGeom>
        <a:solidFill>
          <a:srgbClr val="3399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t>TOTAL </a:t>
          </a:r>
          <a:r>
            <a:rPr lang="en-GB" sz="1200" b="1" i="0" u="none"/>
            <a:t>SALES</a:t>
          </a:r>
        </a:p>
      </xdr:txBody>
    </xdr:sp>
    <xdr:clientData/>
  </xdr:oneCellAnchor>
  <xdr:oneCellAnchor>
    <xdr:from>
      <xdr:col>12</xdr:col>
      <xdr:colOff>501650</xdr:colOff>
      <xdr:row>0</xdr:row>
      <xdr:rowOff>69850</xdr:rowOff>
    </xdr:from>
    <xdr:ext cx="1098550" cy="194710"/>
    <xdr:sp macro="" textlink="">
      <xdr:nvSpPr>
        <xdr:cNvPr id="7" name="TextBox 6">
          <a:extLst>
            <a:ext uri="{FF2B5EF4-FFF2-40B4-BE49-F238E27FC236}">
              <a16:creationId xmlns:a16="http://schemas.microsoft.com/office/drawing/2014/main" id="{B0BE5BA0-110D-DCD2-B592-D409854CD267}"/>
            </a:ext>
          </a:extLst>
        </xdr:cNvPr>
        <xdr:cNvSpPr txBox="1"/>
      </xdr:nvSpPr>
      <xdr:spPr>
        <a:xfrm>
          <a:off x="7816850" y="69850"/>
          <a:ext cx="1098550" cy="194710"/>
        </a:xfrm>
        <a:prstGeom prst="rect">
          <a:avLst/>
        </a:prstGeom>
        <a:solidFill>
          <a:srgbClr val="3399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t>TOTAL PROFIT</a:t>
          </a:r>
        </a:p>
      </xdr:txBody>
    </xdr:sp>
    <xdr:clientData/>
  </xdr:oneCellAnchor>
  <xdr:oneCellAnchor>
    <xdr:from>
      <xdr:col>17</xdr:col>
      <xdr:colOff>158750</xdr:colOff>
      <xdr:row>0</xdr:row>
      <xdr:rowOff>44450</xdr:rowOff>
    </xdr:from>
    <xdr:ext cx="958850" cy="232810"/>
    <xdr:sp macro="" textlink="">
      <xdr:nvSpPr>
        <xdr:cNvPr id="8" name="TextBox 7">
          <a:extLst>
            <a:ext uri="{FF2B5EF4-FFF2-40B4-BE49-F238E27FC236}">
              <a16:creationId xmlns:a16="http://schemas.microsoft.com/office/drawing/2014/main" id="{FA7D79B8-FCA6-9568-51CE-DB6BCDF6EF62}"/>
            </a:ext>
          </a:extLst>
        </xdr:cNvPr>
        <xdr:cNvSpPr txBox="1"/>
      </xdr:nvSpPr>
      <xdr:spPr>
        <a:xfrm>
          <a:off x="10521950" y="44450"/>
          <a:ext cx="958850" cy="232810"/>
        </a:xfrm>
        <a:prstGeom prst="rect">
          <a:avLst/>
        </a:prstGeom>
        <a:solidFill>
          <a:srgbClr val="3399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t>UNITS SOLD</a:t>
          </a:r>
        </a:p>
      </xdr:txBody>
    </xdr:sp>
    <xdr:clientData/>
  </xdr:oneCellAnchor>
  <xdr:twoCellAnchor>
    <xdr:from>
      <xdr:col>0</xdr:col>
      <xdr:colOff>0</xdr:colOff>
      <xdr:row>3</xdr:row>
      <xdr:rowOff>0</xdr:rowOff>
    </xdr:from>
    <xdr:to>
      <xdr:col>3</xdr:col>
      <xdr:colOff>6350</xdr:colOff>
      <xdr:row>10</xdr:row>
      <xdr:rowOff>12700</xdr:rowOff>
    </xdr:to>
    <xdr:graphicFrame macro="">
      <xdr:nvGraphicFramePr>
        <xdr:cNvPr id="10" name="monthly sales">
          <a:extLst>
            <a:ext uri="{FF2B5EF4-FFF2-40B4-BE49-F238E27FC236}">
              <a16:creationId xmlns:a16="http://schemas.microsoft.com/office/drawing/2014/main" id="{02E28708-8578-4A3A-AC93-11696DAA3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xdr:row>
      <xdr:rowOff>1</xdr:rowOff>
    </xdr:from>
    <xdr:to>
      <xdr:col>6</xdr:col>
      <xdr:colOff>6350</xdr:colOff>
      <xdr:row>10</xdr:row>
      <xdr:rowOff>6350</xdr:rowOff>
    </xdr:to>
    <xdr:graphicFrame macro="">
      <xdr:nvGraphicFramePr>
        <xdr:cNvPr id="11" name="category sales">
          <a:extLst>
            <a:ext uri="{FF2B5EF4-FFF2-40B4-BE49-F238E27FC236}">
              <a16:creationId xmlns:a16="http://schemas.microsoft.com/office/drawing/2014/main" id="{3E1934BC-BD49-4181-96AE-87352AB5B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1</xdr:rowOff>
    </xdr:from>
    <xdr:to>
      <xdr:col>6</xdr:col>
      <xdr:colOff>0</xdr:colOff>
      <xdr:row>21</xdr:row>
      <xdr:rowOff>177801</xdr:rowOff>
    </xdr:to>
    <xdr:graphicFrame macro="">
      <xdr:nvGraphicFramePr>
        <xdr:cNvPr id="12" name="product profit">
          <a:extLst>
            <a:ext uri="{FF2B5EF4-FFF2-40B4-BE49-F238E27FC236}">
              <a16:creationId xmlns:a16="http://schemas.microsoft.com/office/drawing/2014/main" id="{B757C34B-8D26-49D3-99FA-60E5A6FAA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xdr:row>
      <xdr:rowOff>184149</xdr:rowOff>
    </xdr:from>
    <xdr:to>
      <xdr:col>11</xdr:col>
      <xdr:colOff>596900</xdr:colOff>
      <xdr:row>12</xdr:row>
      <xdr:rowOff>95250</xdr:rowOff>
    </xdr:to>
    <xdr:graphicFrame macro="">
      <xdr:nvGraphicFramePr>
        <xdr:cNvPr id="13" name="units sold by sales person ">
          <a:extLst>
            <a:ext uri="{FF2B5EF4-FFF2-40B4-BE49-F238E27FC236}">
              <a16:creationId xmlns:a16="http://schemas.microsoft.com/office/drawing/2014/main" id="{8F4E233D-A613-4C0D-9F96-ED698D73C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xdr:colOff>
      <xdr:row>11</xdr:row>
      <xdr:rowOff>12700</xdr:rowOff>
    </xdr:from>
    <xdr:to>
      <xdr:col>17</xdr:col>
      <xdr:colOff>6350</xdr:colOff>
      <xdr:row>21</xdr:row>
      <xdr:rowOff>177800</xdr:rowOff>
    </xdr:to>
    <xdr:graphicFrame macro="">
      <xdr:nvGraphicFramePr>
        <xdr:cNvPr id="14" name="sales,profit,unit sold by sales person">
          <a:extLst>
            <a:ext uri="{FF2B5EF4-FFF2-40B4-BE49-F238E27FC236}">
              <a16:creationId xmlns:a16="http://schemas.microsoft.com/office/drawing/2014/main" id="{863B55B3-A9DB-4AFC-ADE8-19FDBD4BA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603250</xdr:colOff>
      <xdr:row>12</xdr:row>
      <xdr:rowOff>101600</xdr:rowOff>
    </xdr:from>
    <xdr:to>
      <xdr:col>12</xdr:col>
      <xdr:colOff>6350</xdr:colOff>
      <xdr:row>22</xdr:row>
      <xdr:rowOff>0</xdr:rowOff>
    </xdr:to>
    <xdr:graphicFrame macro="">
      <xdr:nvGraphicFramePr>
        <xdr:cNvPr id="15" name="sales by city">
          <a:extLst>
            <a:ext uri="{FF2B5EF4-FFF2-40B4-BE49-F238E27FC236}">
              <a16:creationId xmlns:a16="http://schemas.microsoft.com/office/drawing/2014/main" id="{B66246B0-606A-4092-B60E-A038ECEDB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12700</xdr:colOff>
      <xdr:row>3</xdr:row>
      <xdr:rowOff>0</xdr:rowOff>
    </xdr:from>
    <xdr:to>
      <xdr:col>14</xdr:col>
      <xdr:colOff>19050</xdr:colOff>
      <xdr:row>11</xdr:row>
      <xdr:rowOff>12699</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CECDFF2C-6072-476E-BB48-746E58D06E5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327900" y="552450"/>
              <a:ext cx="1225550" cy="1485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3</xdr:row>
      <xdr:rowOff>6350</xdr:rowOff>
    </xdr:from>
    <xdr:to>
      <xdr:col>16</xdr:col>
      <xdr:colOff>12700</xdr:colOff>
      <xdr:row>11</xdr:row>
      <xdr:rowOff>12699</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42731732-B4A0-4783-8F26-C0418C0B95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53450" y="558800"/>
              <a:ext cx="1212850" cy="1479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6350</xdr:colOff>
      <xdr:row>11</xdr:row>
      <xdr:rowOff>19050</xdr:rowOff>
    </xdr:from>
    <xdr:to>
      <xdr:col>19</xdr:col>
      <xdr:colOff>0</xdr:colOff>
      <xdr:row>18</xdr:row>
      <xdr:rowOff>158750</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CDF5FB6E-9729-4493-8F5B-E5D8DC0E171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69550" y="2044700"/>
              <a:ext cx="1212850" cy="2000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xdr:colOff>
      <xdr:row>3</xdr:row>
      <xdr:rowOff>6350</xdr:rowOff>
    </xdr:from>
    <xdr:to>
      <xdr:col>19</xdr:col>
      <xdr:colOff>12700</xdr:colOff>
      <xdr:row>11</xdr:row>
      <xdr:rowOff>19050</xdr:rowOff>
    </xdr:to>
    <mc:AlternateContent xmlns:mc="http://schemas.openxmlformats.org/markup-compatibility/2006" xmlns:a14="http://schemas.microsoft.com/office/drawing/2010/main">
      <mc:Choice Requires="a14">
        <xdr:graphicFrame macro="">
          <xdr:nvGraphicFramePr>
            <xdr:cNvPr id="19" name="Sales Person">
              <a:extLst>
                <a:ext uri="{FF2B5EF4-FFF2-40B4-BE49-F238E27FC236}">
                  <a16:creationId xmlns:a16="http://schemas.microsoft.com/office/drawing/2014/main" id="{C27A14A5-6107-4070-BAC0-F65E0BF22C8B}"/>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766300" y="558800"/>
              <a:ext cx="18288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0</xdr:rowOff>
    </xdr:from>
    <xdr:ext cx="4876800" cy="546100"/>
    <xdr:sp macro="" textlink="">
      <xdr:nvSpPr>
        <xdr:cNvPr id="21" name="TextBox 20">
          <a:extLst>
            <a:ext uri="{FF2B5EF4-FFF2-40B4-BE49-F238E27FC236}">
              <a16:creationId xmlns:a16="http://schemas.microsoft.com/office/drawing/2014/main" id="{2B2881CA-E8F1-52FA-A2E7-41C693BEF1DA}"/>
            </a:ext>
          </a:extLst>
        </xdr:cNvPr>
        <xdr:cNvSpPr txBox="1"/>
      </xdr:nvSpPr>
      <xdr:spPr>
        <a:xfrm>
          <a:off x="0" y="0"/>
          <a:ext cx="4876800" cy="546100"/>
        </a:xfrm>
        <a:prstGeom prst="rect">
          <a:avLst/>
        </a:prstGeom>
        <a:solidFill>
          <a:srgbClr val="0099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2200" b="1">
              <a:solidFill>
                <a:srgbClr val="FFFFFF"/>
              </a:solidFill>
            </a:rPr>
            <a:t>Excel Sales Performance Dashboard</a:t>
          </a:r>
        </a:p>
      </xdr:txBody>
    </xdr:sp>
    <xdr:clientData/>
  </xdr:oneCellAnchor>
  <xdr:twoCellAnchor>
    <xdr:from>
      <xdr:col>17</xdr:col>
      <xdr:colOff>82550</xdr:colOff>
      <xdr:row>18</xdr:row>
      <xdr:rowOff>177800</xdr:rowOff>
    </xdr:from>
    <xdr:to>
      <xdr:col>18</xdr:col>
      <xdr:colOff>584200</xdr:colOff>
      <xdr:row>20</xdr:row>
      <xdr:rowOff>44450</xdr:rowOff>
    </xdr:to>
    <xdr:sp macro="" textlink="">
      <xdr:nvSpPr>
        <xdr:cNvPr id="22" name="Rectangle: Beveled 21">
          <a:hlinkClick xmlns:r="http://schemas.openxmlformats.org/officeDocument/2006/relationships" r:id="rId7"/>
          <a:extLst>
            <a:ext uri="{FF2B5EF4-FFF2-40B4-BE49-F238E27FC236}">
              <a16:creationId xmlns:a16="http://schemas.microsoft.com/office/drawing/2014/main" id="{6B4A4C49-2505-D0F9-FC33-288988167729}"/>
            </a:ext>
          </a:extLst>
        </xdr:cNvPr>
        <xdr:cNvSpPr/>
      </xdr:nvSpPr>
      <xdr:spPr>
        <a:xfrm>
          <a:off x="10445750" y="3492500"/>
          <a:ext cx="1111250" cy="234950"/>
        </a:xfrm>
        <a:prstGeom prst="bevel">
          <a:avLst/>
        </a:prstGeom>
        <a:solidFill>
          <a:srgbClr val="00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DATA</a:t>
          </a:r>
        </a:p>
      </xdr:txBody>
    </xdr:sp>
    <xdr:clientData/>
  </xdr:twoCellAnchor>
  <xdr:twoCellAnchor>
    <xdr:from>
      <xdr:col>17</xdr:col>
      <xdr:colOff>88900</xdr:colOff>
      <xdr:row>20</xdr:row>
      <xdr:rowOff>95250</xdr:rowOff>
    </xdr:from>
    <xdr:to>
      <xdr:col>18</xdr:col>
      <xdr:colOff>590550</xdr:colOff>
      <xdr:row>21</xdr:row>
      <xdr:rowOff>146050</xdr:rowOff>
    </xdr:to>
    <xdr:sp macro="" textlink="">
      <xdr:nvSpPr>
        <xdr:cNvPr id="24" name="Rectangle: Beveled 23">
          <a:hlinkClick xmlns:r="http://schemas.openxmlformats.org/officeDocument/2006/relationships" r:id="rId8"/>
          <a:extLst>
            <a:ext uri="{FF2B5EF4-FFF2-40B4-BE49-F238E27FC236}">
              <a16:creationId xmlns:a16="http://schemas.microsoft.com/office/drawing/2014/main" id="{5B1C7C7F-2338-4973-BBB7-33871141AF72}"/>
            </a:ext>
          </a:extLst>
        </xdr:cNvPr>
        <xdr:cNvSpPr/>
      </xdr:nvSpPr>
      <xdr:spPr>
        <a:xfrm>
          <a:off x="10452100" y="3778250"/>
          <a:ext cx="1111250" cy="234950"/>
        </a:xfrm>
        <a:prstGeom prst="bevel">
          <a:avLst/>
        </a:prstGeom>
        <a:solidFill>
          <a:srgbClr val="00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KPI'S</a:t>
          </a:r>
        </a:p>
      </xdr:txBody>
    </xdr:sp>
    <xdr:clientData/>
  </xdr:twoCellAnchor>
  <xdr:oneCellAnchor>
    <xdr:from>
      <xdr:col>10</xdr:col>
      <xdr:colOff>228600</xdr:colOff>
      <xdr:row>1</xdr:row>
      <xdr:rowOff>19050</xdr:rowOff>
    </xdr:from>
    <xdr:ext cx="1250950" cy="264560"/>
    <xdr:sp macro="" textlink="'sales data1'!D18">
      <xdr:nvSpPr>
        <xdr:cNvPr id="25" name="TextBox 24">
          <a:extLst>
            <a:ext uri="{FF2B5EF4-FFF2-40B4-BE49-F238E27FC236}">
              <a16:creationId xmlns:a16="http://schemas.microsoft.com/office/drawing/2014/main" id="{00E46C95-20F4-C209-4517-68E79A2573E0}"/>
            </a:ext>
          </a:extLst>
        </xdr:cNvPr>
        <xdr:cNvSpPr txBox="1"/>
      </xdr:nvSpPr>
      <xdr:spPr>
        <a:xfrm>
          <a:off x="6324600" y="203200"/>
          <a:ext cx="125095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fld id="{30B74D4F-1B93-40AD-A0F7-82E25C313EBA}" type="TxLink">
            <a:rPr lang="en-US" sz="1100" b="1" i="0" u="none" strike="noStrike">
              <a:solidFill>
                <a:schemeClr val="tx1"/>
              </a:solidFill>
              <a:latin typeface="Calibri"/>
              <a:ea typeface="Calibri"/>
              <a:cs typeface="Calibri"/>
            </a:rPr>
            <a:pPr algn="ctr"/>
            <a:t>Mobile</a:t>
          </a:fld>
          <a:endParaRPr lang="en-GB" sz="1100" b="1">
            <a:solidFill>
              <a:schemeClr val="tx1"/>
            </a:solidFill>
          </a:endParaRPr>
        </a:p>
      </xdr:txBody>
    </xdr:sp>
    <xdr:clientData/>
  </xdr:oneCellAnchor>
  <xdr:oneCellAnchor>
    <xdr:from>
      <xdr:col>10</xdr:col>
      <xdr:colOff>285750</xdr:colOff>
      <xdr:row>0</xdr:row>
      <xdr:rowOff>50800</xdr:rowOff>
    </xdr:from>
    <xdr:ext cx="1143000" cy="190500"/>
    <xdr:sp macro="" textlink="">
      <xdr:nvSpPr>
        <xdr:cNvPr id="30" name="TextBox 29">
          <a:extLst>
            <a:ext uri="{FF2B5EF4-FFF2-40B4-BE49-F238E27FC236}">
              <a16:creationId xmlns:a16="http://schemas.microsoft.com/office/drawing/2014/main" id="{7EE9D158-5D71-D40B-1425-0B84673CC8CD}"/>
            </a:ext>
          </a:extLst>
        </xdr:cNvPr>
        <xdr:cNvSpPr txBox="1"/>
      </xdr:nvSpPr>
      <xdr:spPr>
        <a:xfrm>
          <a:off x="6381750" y="50800"/>
          <a:ext cx="1143000" cy="190500"/>
        </a:xfrm>
        <a:prstGeom prst="rect">
          <a:avLst/>
        </a:prstGeom>
        <a:solidFill>
          <a:srgbClr val="3399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solidFill>
                <a:schemeClr val="tx1"/>
              </a:solidFill>
            </a:rPr>
            <a:t>TOP</a:t>
          </a:r>
          <a:r>
            <a:rPr lang="en-GB" sz="1100" b="1">
              <a:solidFill>
                <a:schemeClr val="tx1"/>
              </a:solidFill>
            </a:rPr>
            <a:t> </a:t>
          </a:r>
          <a:r>
            <a:rPr lang="en-GB" sz="1200" b="1">
              <a:solidFill>
                <a:schemeClr val="tx1"/>
              </a:solidFill>
            </a:rPr>
            <a:t>PRODUCT</a:t>
          </a:r>
        </a:p>
      </xdr:txBody>
    </xdr:sp>
    <xdr:clientData/>
  </xdr:oneCellAnchor>
  <xdr:oneCellAnchor>
    <xdr:from>
      <xdr:col>14</xdr:col>
      <xdr:colOff>581526</xdr:colOff>
      <xdr:row>1</xdr:row>
      <xdr:rowOff>36230</xdr:rowOff>
    </xdr:from>
    <xdr:ext cx="1247273" cy="264560"/>
    <xdr:sp macro="" textlink="'sales data1'!M26">
      <xdr:nvSpPr>
        <xdr:cNvPr id="31" name="TextBox 30">
          <a:extLst>
            <a:ext uri="{FF2B5EF4-FFF2-40B4-BE49-F238E27FC236}">
              <a16:creationId xmlns:a16="http://schemas.microsoft.com/office/drawing/2014/main" id="{99A0490C-312A-346A-989F-628012A603CF}"/>
            </a:ext>
          </a:extLst>
        </xdr:cNvPr>
        <xdr:cNvSpPr txBox="1"/>
      </xdr:nvSpPr>
      <xdr:spPr>
        <a:xfrm>
          <a:off x="9097210" y="223388"/>
          <a:ext cx="1247273"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fld id="{D259E8DD-8E6F-4A47-ACFE-B1295E5E9CE3}" type="TxLink">
            <a:rPr lang="en-US" sz="1100" b="1" i="0" u="none" strike="noStrike">
              <a:solidFill>
                <a:schemeClr val="tx1"/>
              </a:solidFill>
              <a:latin typeface="Calibri"/>
              <a:ea typeface="Calibri"/>
              <a:cs typeface="Calibri"/>
            </a:rPr>
            <a:pPr algn="ctr"/>
            <a:t>20</a:t>
          </a:fld>
          <a:endParaRPr lang="en-GB" sz="1100" b="1">
            <a:solidFill>
              <a:schemeClr val="tx1"/>
            </a:solidFill>
          </a:endParaRPr>
        </a:p>
      </xdr:txBody>
    </xdr:sp>
    <xdr:clientData/>
  </xdr:oneCellAnchor>
  <xdr:oneCellAnchor>
    <xdr:from>
      <xdr:col>15</xdr:col>
      <xdr:colOff>23394</xdr:colOff>
      <xdr:row>0</xdr:row>
      <xdr:rowOff>66842</xdr:rowOff>
    </xdr:from>
    <xdr:ext cx="1159711" cy="211888"/>
    <xdr:sp macro="" textlink="">
      <xdr:nvSpPr>
        <xdr:cNvPr id="32" name="TextBox 31">
          <a:extLst>
            <a:ext uri="{FF2B5EF4-FFF2-40B4-BE49-F238E27FC236}">
              <a16:creationId xmlns:a16="http://schemas.microsoft.com/office/drawing/2014/main" id="{C0FA778D-519C-3481-931A-17F90A5BF3A6}"/>
            </a:ext>
          </a:extLst>
        </xdr:cNvPr>
        <xdr:cNvSpPr txBox="1"/>
      </xdr:nvSpPr>
      <xdr:spPr>
        <a:xfrm>
          <a:off x="9147341" y="66842"/>
          <a:ext cx="1159711" cy="211888"/>
        </a:xfrm>
        <a:prstGeom prst="rect">
          <a:avLst/>
        </a:prstGeom>
        <a:solidFill>
          <a:srgbClr val="3399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solidFill>
                <a:schemeClr val="tx1"/>
              </a:solidFill>
            </a:rPr>
            <a:t>TOTAL</a:t>
          </a:r>
          <a:r>
            <a:rPr lang="en-GB" sz="1200" b="1" baseline="0">
              <a:solidFill>
                <a:schemeClr val="tx1"/>
              </a:solidFill>
            </a:rPr>
            <a:t> ORDERS</a:t>
          </a:r>
          <a:endParaRPr lang="en-GB" sz="1200" b="1">
            <a:solidFill>
              <a:schemeClr val="tx1"/>
            </a:solidFill>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vi rathore" refreshedDate="46224.538301851855" createdVersion="8" refreshedVersion="8" minRefreshableVersion="3" recordCount="20" xr:uid="{7BD86A13-85D8-4940-BB84-E11C4B6F96C4}">
  <cacheSource type="worksheet">
    <worksheetSource name="Table1"/>
  </cacheSource>
  <cacheFields count="11">
    <cacheField name="Order ID" numFmtId="0">
      <sharedItems containsSemiMixedTypes="0" containsString="0" containsNumber="1" containsInteger="1" minValue="1001" maxValue="1020"/>
    </cacheField>
    <cacheField name="Date" numFmtId="14">
      <sharedItems containsSemiMixedTypes="0" containsNonDate="0" containsDate="1" containsString="0" minDate="2026-01-02T00:00:00" maxDate="2026-03-29T00:00:00"/>
    </cacheField>
    <cacheField name="Month" numFmtId="0">
      <sharedItems count="3">
        <s v="Jan"/>
        <s v="Feb"/>
        <s v="Mar"/>
      </sharedItems>
    </cacheField>
    <cacheField name="Product" numFmtId="0">
      <sharedItems count="7">
        <s v="Laptop"/>
        <s v="Shoes"/>
        <s v="Mobile"/>
        <s v="Watch"/>
        <s v="Headphones"/>
        <s v="Bag"/>
        <s v="Tablet"/>
      </sharedItems>
    </cacheField>
    <cacheField name="Category" numFmtId="0">
      <sharedItems count="3">
        <s v="Electronics"/>
        <s v="Fashion"/>
        <s v="Accessories"/>
      </sharedItems>
    </cacheField>
    <cacheField name="City" numFmtId="0">
      <sharedItems count="4">
        <s v="Delhi"/>
        <s v="Mumbai"/>
        <s v="Jaipur"/>
        <s v="Pune"/>
      </sharedItems>
    </cacheField>
    <cacheField name="Sales Person" numFmtId="0">
      <sharedItems count="4">
        <s v="Aman"/>
        <s v="Riya"/>
        <s v="Arjun"/>
        <s v="Karan"/>
      </sharedItems>
    </cacheField>
    <cacheField name="Units Sold" numFmtId="0">
      <sharedItems containsSemiMixedTypes="0" containsString="0" containsNumber="1" containsInteger="1" minValue="1" maxValue="10"/>
    </cacheField>
    <cacheField name="Price" numFmtId="0">
      <sharedItems containsSemiMixedTypes="0" containsString="0" containsNumber="1" containsInteger="1" minValue="1200" maxValue="57000"/>
    </cacheField>
    <cacheField name="Sales" numFmtId="0">
      <sharedItems containsSemiMixedTypes="0" containsString="0" containsNumber="1" containsInteger="1" minValue="8400" maxValue="127500" count="18">
        <n v="110000"/>
        <n v="10000"/>
        <n v="100000"/>
        <n v="18000"/>
        <n v="12000"/>
        <n v="8400"/>
        <n v="90000"/>
        <n v="8800"/>
        <n v="55000"/>
        <n v="78000"/>
        <n v="22400"/>
        <n v="64000"/>
        <n v="16800"/>
        <n v="114000"/>
        <n v="127500"/>
        <n v="11700"/>
        <n v="93000"/>
        <n v="13600"/>
      </sharedItems>
    </cacheField>
    <cacheField name="Profit" numFmtId="0">
      <sharedItems containsSemiMixedTypes="0" containsString="0" containsNumber="1" containsInteger="1" minValue="2200" maxValue="26000"/>
    </cacheField>
  </cacheFields>
  <extLst>
    <ext xmlns:x14="http://schemas.microsoft.com/office/spreadsheetml/2009/9/main" uri="{725AE2AE-9491-48be-B2B4-4EB974FC3084}">
      <x14:pivotCacheDefinition pivotCacheId="1353230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1-02T00:00:00"/>
    <x v="0"/>
    <x v="0"/>
    <x v="0"/>
    <x v="0"/>
    <x v="0"/>
    <n v="2"/>
    <n v="55000"/>
    <x v="0"/>
    <n v="18000"/>
  </r>
  <r>
    <n v="1002"/>
    <d v="2026-01-03T00:00:00"/>
    <x v="0"/>
    <x v="1"/>
    <x v="1"/>
    <x v="1"/>
    <x v="1"/>
    <n v="5"/>
    <n v="2000"/>
    <x v="1"/>
    <n v="3000"/>
  </r>
  <r>
    <n v="1003"/>
    <d v="2026-01-05T00:00:00"/>
    <x v="0"/>
    <x v="2"/>
    <x v="0"/>
    <x v="2"/>
    <x v="2"/>
    <n v="4"/>
    <n v="25000"/>
    <x v="2"/>
    <n v="20000"/>
  </r>
  <r>
    <n v="1004"/>
    <d v="2026-01-08T00:00:00"/>
    <x v="0"/>
    <x v="3"/>
    <x v="2"/>
    <x v="0"/>
    <x v="3"/>
    <n v="6"/>
    <n v="3000"/>
    <x v="3"/>
    <n v="4000"/>
  </r>
  <r>
    <n v="1005"/>
    <d v="2026-01-12T00:00:00"/>
    <x v="0"/>
    <x v="4"/>
    <x v="0"/>
    <x v="3"/>
    <x v="1"/>
    <n v="8"/>
    <n v="1500"/>
    <x v="4"/>
    <n v="3500"/>
  </r>
  <r>
    <n v="1006"/>
    <d v="2026-01-15T00:00:00"/>
    <x v="0"/>
    <x v="5"/>
    <x v="1"/>
    <x v="2"/>
    <x v="0"/>
    <n v="7"/>
    <n v="1200"/>
    <x v="5"/>
    <n v="2500"/>
  </r>
  <r>
    <n v="1007"/>
    <d v="2026-01-20T00:00:00"/>
    <x v="0"/>
    <x v="6"/>
    <x v="0"/>
    <x v="1"/>
    <x v="2"/>
    <n v="3"/>
    <n v="30000"/>
    <x v="6"/>
    <n v="17000"/>
  </r>
  <r>
    <n v="1008"/>
    <d v="2026-01-25T00:00:00"/>
    <x v="0"/>
    <x v="1"/>
    <x v="1"/>
    <x v="0"/>
    <x v="3"/>
    <n v="4"/>
    <n v="2200"/>
    <x v="7"/>
    <n v="2700"/>
  </r>
  <r>
    <n v="1009"/>
    <d v="2026-02-02T00:00:00"/>
    <x v="1"/>
    <x v="0"/>
    <x v="0"/>
    <x v="3"/>
    <x v="0"/>
    <n v="1"/>
    <n v="55000"/>
    <x v="8"/>
    <n v="12000"/>
  </r>
  <r>
    <n v="1010"/>
    <d v="2026-02-05T00:00:00"/>
    <x v="1"/>
    <x v="2"/>
    <x v="0"/>
    <x v="0"/>
    <x v="1"/>
    <n v="3"/>
    <n v="26000"/>
    <x v="9"/>
    <n v="16000"/>
  </r>
  <r>
    <n v="1011"/>
    <d v="2026-02-10T00:00:00"/>
    <x v="1"/>
    <x v="3"/>
    <x v="2"/>
    <x v="1"/>
    <x v="2"/>
    <n v="7"/>
    <n v="3200"/>
    <x v="10"/>
    <n v="5000"/>
  </r>
  <r>
    <n v="1012"/>
    <d v="2026-02-15T00:00:00"/>
    <x v="1"/>
    <x v="5"/>
    <x v="1"/>
    <x v="2"/>
    <x v="3"/>
    <n v="6"/>
    <n v="1400"/>
    <x v="5"/>
    <n v="2200"/>
  </r>
  <r>
    <n v="1013"/>
    <d v="2026-02-20T00:00:00"/>
    <x v="1"/>
    <x v="4"/>
    <x v="0"/>
    <x v="0"/>
    <x v="0"/>
    <n v="10"/>
    <n v="1800"/>
    <x v="3"/>
    <n v="5000"/>
  </r>
  <r>
    <n v="1014"/>
    <d v="2026-02-25T00:00:00"/>
    <x v="1"/>
    <x v="6"/>
    <x v="0"/>
    <x v="3"/>
    <x v="1"/>
    <n v="2"/>
    <n v="32000"/>
    <x v="11"/>
    <n v="13000"/>
  </r>
  <r>
    <n v="1015"/>
    <d v="2026-03-03T00:00:00"/>
    <x v="2"/>
    <x v="1"/>
    <x v="1"/>
    <x v="1"/>
    <x v="2"/>
    <n v="8"/>
    <n v="2100"/>
    <x v="12"/>
    <n v="4500"/>
  </r>
  <r>
    <n v="1016"/>
    <d v="2026-03-08T00:00:00"/>
    <x v="2"/>
    <x v="0"/>
    <x v="0"/>
    <x v="2"/>
    <x v="3"/>
    <n v="2"/>
    <n v="57000"/>
    <x v="13"/>
    <n v="22000"/>
  </r>
  <r>
    <n v="1017"/>
    <d v="2026-03-12T00:00:00"/>
    <x v="2"/>
    <x v="2"/>
    <x v="0"/>
    <x v="0"/>
    <x v="1"/>
    <n v="5"/>
    <n v="25500"/>
    <x v="14"/>
    <n v="26000"/>
  </r>
  <r>
    <n v="1018"/>
    <d v="2026-03-18T00:00:00"/>
    <x v="2"/>
    <x v="5"/>
    <x v="1"/>
    <x v="3"/>
    <x v="0"/>
    <n v="9"/>
    <n v="1300"/>
    <x v="15"/>
    <n v="3000"/>
  </r>
  <r>
    <n v="1019"/>
    <d v="2026-03-22T00:00:00"/>
    <x v="2"/>
    <x v="6"/>
    <x v="0"/>
    <x v="1"/>
    <x v="3"/>
    <n v="3"/>
    <n v="31000"/>
    <x v="16"/>
    <n v="18000"/>
  </r>
  <r>
    <n v="1020"/>
    <d v="2026-03-28T00:00:00"/>
    <x v="2"/>
    <x v="3"/>
    <x v="2"/>
    <x v="2"/>
    <x v="2"/>
    <n v="4"/>
    <n v="3400"/>
    <x v="17"/>
    <n v="3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7343C-A330-4D45-8E80-2C98A3FFDB94}"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H7" firstHeaderRow="1" firstDataRow="1" firstDataCol="1"/>
  <pivotFields count="11">
    <pivotField showAll="0"/>
    <pivotField numFmtId="14" showAll="0"/>
    <pivotField axis="axisRow" showAll="0">
      <items count="4">
        <item x="0"/>
        <item x="1"/>
        <item x="2"/>
        <item t="default"/>
      </items>
    </pivotField>
    <pivotField showAll="0"/>
    <pivotField showAll="0">
      <items count="4">
        <item x="2"/>
        <item x="0"/>
        <item x="1"/>
        <item t="default"/>
      </items>
    </pivotField>
    <pivotField showAll="0">
      <items count="5">
        <item x="0"/>
        <item x="2"/>
        <item x="1"/>
        <item x="3"/>
        <item t="default"/>
      </items>
    </pivotField>
    <pivotField showAll="0">
      <items count="5">
        <item x="0"/>
        <item x="2"/>
        <item x="3"/>
        <item x="1"/>
        <item t="default"/>
      </items>
    </pivotField>
    <pivotField showAll="0"/>
    <pivotField showAll="0"/>
    <pivotField dataField="1" showAll="0">
      <items count="19">
        <item x="5"/>
        <item x="7"/>
        <item x="1"/>
        <item x="15"/>
        <item x="4"/>
        <item x="17"/>
        <item x="12"/>
        <item x="3"/>
        <item x="10"/>
        <item x="8"/>
        <item x="11"/>
        <item x="9"/>
        <item x="6"/>
        <item x="16"/>
        <item x="2"/>
        <item x="0"/>
        <item x="13"/>
        <item x="14"/>
        <item t="default"/>
      </items>
    </pivotField>
    <pivotField showAll="0"/>
  </pivotFields>
  <rowFields count="1">
    <field x="2"/>
  </rowFields>
  <rowItems count="4">
    <i>
      <x/>
    </i>
    <i>
      <x v="1"/>
    </i>
    <i>
      <x v="2"/>
    </i>
    <i t="grand">
      <x/>
    </i>
  </rowItems>
  <colItems count="1">
    <i/>
  </colItems>
  <dataFields count="1">
    <dataField name="Sum of Sales" fld="9"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 count="1" selected="0">
            <x v="0"/>
          </reference>
        </references>
      </pivotArea>
    </chartFormat>
    <chartFormat chart="12" format="10">
      <pivotArea type="data" outline="0" fieldPosition="0">
        <references count="2">
          <reference field="4294967294" count="1" selected="0">
            <x v="0"/>
          </reference>
          <reference field="2" count="1" selected="0">
            <x v="1"/>
          </reference>
        </references>
      </pivotArea>
    </chartFormat>
    <chartFormat chart="1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25E7A-728D-4C5F-AFA3-54B55E25556E}" name="PRODUCT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1" firstHeaderRow="1" firstDataRow="1" firstDataCol="1"/>
  <pivotFields count="11">
    <pivotField showAll="0"/>
    <pivotField numFmtId="14" showAll="0"/>
    <pivotField showAll="0">
      <items count="4">
        <item x="0"/>
        <item x="1"/>
        <item x="2"/>
        <item t="default"/>
      </items>
    </pivotField>
    <pivotField axis="axisRow" showAll="0">
      <items count="8">
        <item x="5"/>
        <item x="4"/>
        <item x="0"/>
        <item x="2"/>
        <item x="1"/>
        <item x="6"/>
        <item x="3"/>
        <item t="default"/>
      </items>
    </pivotField>
    <pivotField showAll="0">
      <items count="4">
        <item x="2"/>
        <item x="0"/>
        <item x="1"/>
        <item t="default"/>
      </items>
    </pivotField>
    <pivotField showAll="0">
      <items count="5">
        <item x="0"/>
        <item x="2"/>
        <item x="1"/>
        <item x="3"/>
        <item t="default"/>
      </items>
    </pivotField>
    <pivotField showAll="0">
      <items count="5">
        <item x="0"/>
        <item x="2"/>
        <item x="3"/>
        <item x="1"/>
        <item t="default"/>
      </items>
    </pivotField>
    <pivotField showAll="0"/>
    <pivotField showAll="0"/>
    <pivotField showAll="0">
      <items count="19">
        <item x="5"/>
        <item x="7"/>
        <item x="1"/>
        <item x="15"/>
        <item x="4"/>
        <item x="17"/>
        <item x="12"/>
        <item x="3"/>
        <item x="10"/>
        <item x="8"/>
        <item x="11"/>
        <item x="9"/>
        <item x="6"/>
        <item x="16"/>
        <item x="2"/>
        <item x="0"/>
        <item x="13"/>
        <item x="14"/>
        <item t="default"/>
      </items>
    </pivotField>
    <pivotField dataField="1" showAll="0"/>
  </pivotFields>
  <rowFields count="1">
    <field x="3"/>
  </rowFields>
  <rowItems count="8">
    <i>
      <x/>
    </i>
    <i>
      <x v="1"/>
    </i>
    <i>
      <x v="2"/>
    </i>
    <i>
      <x v="3"/>
    </i>
    <i>
      <x v="4"/>
    </i>
    <i>
      <x v="5"/>
    </i>
    <i>
      <x v="6"/>
    </i>
    <i t="grand">
      <x/>
    </i>
  </rowItems>
  <colItems count="1">
    <i/>
  </colItems>
  <dataFields count="1">
    <dataField name="Sum of Profit" fld="10"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30BCA2-5656-4F75-8960-FF268F6C1988}" name="CIT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1">
    <pivotField showAll="0"/>
    <pivotField numFmtId="14" showAll="0"/>
    <pivotField showAll="0">
      <items count="4">
        <item x="0"/>
        <item x="1"/>
        <item x="2"/>
        <item t="default"/>
      </items>
    </pivotField>
    <pivotField showAll="0"/>
    <pivotField showAll="0">
      <items count="4">
        <item x="2"/>
        <item x="0"/>
        <item x="1"/>
        <item t="default"/>
      </items>
    </pivotField>
    <pivotField axis="axisRow" showAll="0">
      <items count="5">
        <item x="0"/>
        <item x="2"/>
        <item x="1"/>
        <item x="3"/>
        <item t="default"/>
      </items>
    </pivotField>
    <pivotField showAll="0">
      <items count="5">
        <item x="0"/>
        <item x="2"/>
        <item x="3"/>
        <item x="1"/>
        <item t="default"/>
      </items>
    </pivotField>
    <pivotField showAll="0"/>
    <pivotField showAll="0"/>
    <pivotField dataField="1" showAll="0">
      <items count="19">
        <item x="5"/>
        <item x="7"/>
        <item x="1"/>
        <item x="15"/>
        <item x="4"/>
        <item x="17"/>
        <item x="12"/>
        <item x="3"/>
        <item x="10"/>
        <item x="8"/>
        <item x="11"/>
        <item x="9"/>
        <item x="6"/>
        <item x="16"/>
        <item x="2"/>
        <item x="0"/>
        <item x="13"/>
        <item x="14"/>
        <item t="default"/>
      </items>
    </pivotField>
    <pivotField showAll="0"/>
  </pivotFields>
  <rowFields count="1">
    <field x="5"/>
  </rowFields>
  <rowItems count="5">
    <i>
      <x/>
    </i>
    <i>
      <x v="1"/>
    </i>
    <i>
      <x v="2"/>
    </i>
    <i>
      <x v="3"/>
    </i>
    <i t="grand">
      <x/>
    </i>
  </rowItems>
  <colItems count="1">
    <i/>
  </colItems>
  <dataFields count="1">
    <dataField name="Sum of Sales" fld="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DF3F2A-7251-4B12-BF06-A8CA192DA280}" name="S.P , SALES , PROFIT , UNIT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4:G19" firstHeaderRow="0" firstDataRow="1" firstDataCol="1"/>
  <pivotFields count="11">
    <pivotField showAll="0"/>
    <pivotField numFmtId="14" showAll="0"/>
    <pivotField showAll="0">
      <items count="4">
        <item x="0"/>
        <item x="1"/>
        <item x="2"/>
        <item t="default"/>
      </items>
    </pivotField>
    <pivotField showAll="0"/>
    <pivotField showAll="0">
      <items count="4">
        <item x="2"/>
        <item x="0"/>
        <item x="1"/>
        <item t="default"/>
      </items>
    </pivotField>
    <pivotField showAll="0">
      <items count="5">
        <item x="0"/>
        <item x="2"/>
        <item x="1"/>
        <item x="3"/>
        <item t="default"/>
      </items>
    </pivotField>
    <pivotField axis="axisRow" showAll="0">
      <items count="5">
        <item x="0"/>
        <item x="2"/>
        <item x="3"/>
        <item x="1"/>
        <item t="default"/>
      </items>
    </pivotField>
    <pivotField dataField="1" showAll="0"/>
    <pivotField showAll="0"/>
    <pivotField dataField="1" showAll="0">
      <items count="19">
        <item x="5"/>
        <item x="7"/>
        <item x="1"/>
        <item x="15"/>
        <item x="4"/>
        <item x="17"/>
        <item x="12"/>
        <item x="3"/>
        <item x="10"/>
        <item x="8"/>
        <item x="11"/>
        <item x="9"/>
        <item x="6"/>
        <item x="16"/>
        <item x="2"/>
        <item x="0"/>
        <item x="13"/>
        <item x="14"/>
        <item t="default"/>
      </items>
    </pivotField>
    <pivotField dataField="1" showAll="0"/>
  </pivotFields>
  <rowFields count="1">
    <field x="6"/>
  </rowFields>
  <rowItems count="5">
    <i>
      <x/>
    </i>
    <i>
      <x v="1"/>
    </i>
    <i>
      <x v="2"/>
    </i>
    <i>
      <x v="3"/>
    </i>
    <i t="grand">
      <x/>
    </i>
  </rowItems>
  <colFields count="1">
    <field x="-2"/>
  </colFields>
  <colItems count="3">
    <i>
      <x/>
    </i>
    <i i="1">
      <x v="1"/>
    </i>
    <i i="2">
      <x v="2"/>
    </i>
  </colItems>
  <dataFields count="3">
    <dataField name="Sum of Sales" fld="9" baseField="0" baseItem="0"/>
    <dataField name="Sum of Profit" fld="10" baseField="0" baseItem="0"/>
    <dataField name="Sum of Units Sold"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9766C2-CAB0-4B6E-8E49-D00637C5745D}" name="SALES 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9" firstHeaderRow="1" firstDataRow="1" firstDataCol="1"/>
  <pivotFields count="11">
    <pivotField showAll="0"/>
    <pivotField numFmtId="14" showAll="0"/>
    <pivotField showAll="0">
      <items count="4">
        <item x="0"/>
        <item x="1"/>
        <item x="2"/>
        <item t="default"/>
      </items>
    </pivotField>
    <pivotField showAll="0"/>
    <pivotField showAll="0">
      <items count="4">
        <item x="2"/>
        <item x="0"/>
        <item x="1"/>
        <item t="default"/>
      </items>
    </pivotField>
    <pivotField showAll="0">
      <items count="5">
        <item x="0"/>
        <item x="2"/>
        <item x="1"/>
        <item x="3"/>
        <item t="default"/>
      </items>
    </pivotField>
    <pivotField axis="axisRow" showAll="0">
      <items count="5">
        <item x="0"/>
        <item x="2"/>
        <item x="3"/>
        <item x="1"/>
        <item t="default"/>
      </items>
    </pivotField>
    <pivotField dataField="1" showAll="0"/>
    <pivotField showAll="0"/>
    <pivotField showAll="0">
      <items count="19">
        <item x="5"/>
        <item x="7"/>
        <item x="1"/>
        <item x="15"/>
        <item x="4"/>
        <item x="17"/>
        <item x="12"/>
        <item x="3"/>
        <item x="10"/>
        <item x="8"/>
        <item x="11"/>
        <item x="9"/>
        <item x="6"/>
        <item x="16"/>
        <item x="2"/>
        <item x="0"/>
        <item x="13"/>
        <item x="14"/>
        <item t="default"/>
      </items>
    </pivotField>
    <pivotField showAll="0"/>
  </pivotFields>
  <rowFields count="1">
    <field x="6"/>
  </rowFields>
  <rowItems count="5">
    <i>
      <x/>
    </i>
    <i>
      <x v="1"/>
    </i>
    <i>
      <x v="2"/>
    </i>
    <i>
      <x v="3"/>
    </i>
    <i t="grand">
      <x/>
    </i>
  </rowItems>
  <colItems count="1">
    <i/>
  </colItems>
  <dataFields count="1">
    <dataField name="Sum of Units Sold"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8C91EC-3418-43F5-8431-21B7C506012E}" name="CATEGOR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7" firstHeaderRow="1" firstDataRow="1" firstDataCol="1"/>
  <pivotFields count="11">
    <pivotField showAll="0"/>
    <pivotField numFmtId="14" showAll="0"/>
    <pivotField showAll="0">
      <items count="4">
        <item x="0"/>
        <item x="1"/>
        <item x="2"/>
        <item t="default"/>
      </items>
    </pivotField>
    <pivotField showAll="0"/>
    <pivotField axis="axisRow" showAll="0">
      <items count="4">
        <item x="2"/>
        <item x="0"/>
        <item x="1"/>
        <item t="default"/>
      </items>
    </pivotField>
    <pivotField showAll="0">
      <items count="5">
        <item x="0"/>
        <item x="2"/>
        <item x="1"/>
        <item x="3"/>
        <item t="default"/>
      </items>
    </pivotField>
    <pivotField showAll="0">
      <items count="5">
        <item x="0"/>
        <item x="2"/>
        <item x="3"/>
        <item x="1"/>
        <item t="default"/>
      </items>
    </pivotField>
    <pivotField showAll="0"/>
    <pivotField showAll="0"/>
    <pivotField dataField="1" showAll="0">
      <items count="19">
        <item x="5"/>
        <item x="7"/>
        <item x="1"/>
        <item x="15"/>
        <item x="4"/>
        <item x="17"/>
        <item x="12"/>
        <item x="3"/>
        <item x="10"/>
        <item x="8"/>
        <item x="11"/>
        <item x="9"/>
        <item x="6"/>
        <item x="16"/>
        <item x="2"/>
        <item x="0"/>
        <item x="13"/>
        <item x="14"/>
        <item t="default"/>
      </items>
    </pivotField>
    <pivotField showAll="0"/>
  </pivotFields>
  <rowFields count="1">
    <field x="4"/>
  </rowFields>
  <rowItems count="4">
    <i>
      <x/>
    </i>
    <i>
      <x v="1"/>
    </i>
    <i>
      <x v="2"/>
    </i>
    <i t="grand">
      <x/>
    </i>
  </rowItems>
  <colItems count="1">
    <i/>
  </colItems>
  <dataFields count="1">
    <dataField name="Sum of Sales" fld="9" baseField="0" baseItem="0"/>
  </dataField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B114F6B-793B-4304-B991-0B5462B58AF0}" sourceName="Month">
  <pivotTables>
    <pivotTable tabId="4" name="CITY SALES"/>
    <pivotTable tabId="4" name="CATEGORY SALES"/>
    <pivotTable tabId="4" name="MONTHLY SALES"/>
    <pivotTable tabId="4" name="PRODUCT PROFIT"/>
    <pivotTable tabId="4" name="S.P , SALES , PROFIT , UNIT SOLD"/>
    <pivotTable tabId="4" name="SALES PERSON"/>
  </pivotTables>
  <data>
    <tabular pivotCacheId="13532309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B7C75A-9F76-4E37-926C-B6D25B7C08B0}" sourceName="Category">
  <pivotTables>
    <pivotTable tabId="4" name="CITY SALES"/>
    <pivotTable tabId="4" name="CATEGORY SALES"/>
    <pivotTable tabId="4" name="MONTHLY SALES"/>
    <pivotTable tabId="4" name="PRODUCT PROFIT"/>
    <pivotTable tabId="4" name="S.P , SALES , PROFIT , UNIT SOLD"/>
    <pivotTable tabId="4" name="SALES PERSON"/>
  </pivotTables>
  <data>
    <tabular pivotCacheId="135323096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5523CB3-F2A6-490B-A518-B1D49F618726}" sourceName="City">
  <pivotTables>
    <pivotTable tabId="4" name="CITY SALES"/>
    <pivotTable tabId="4" name="CATEGORY SALES"/>
    <pivotTable tabId="4" name="MONTHLY SALES"/>
    <pivotTable tabId="4" name="PRODUCT PROFIT"/>
    <pivotTable tabId="4" name="S.P , SALES , PROFIT , UNIT SOLD"/>
    <pivotTable tabId="4" name="SALES PERSON"/>
  </pivotTables>
  <data>
    <tabular pivotCacheId="1353230968">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9017B91-BA05-4297-B238-1FD0F8E6EF59}" sourceName="Sales Person">
  <pivotTables>
    <pivotTable tabId="4" name="CITY SALES"/>
    <pivotTable tabId="4" name="CATEGORY SALES"/>
    <pivotTable tabId="4" name="MONTHLY SALES"/>
    <pivotTable tabId="4" name="PRODUCT PROFIT"/>
    <pivotTable tabId="4" name="S.P , SALES , PROFIT , UNIT SOLD"/>
    <pivotTable tabId="4" name="SALES PERSON"/>
  </pivotTables>
  <data>
    <tabular pivotCacheId="135323096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0735F2A-E6B2-49EC-948C-9E20AD87B8A7}" cache="Slicer_Month" caption="Month" style="SlicerStyleDark5" rowHeight="241300"/>
  <slicer name="Category" xr10:uid="{39498428-D362-4637-BA98-5FC1D3EEF1C2}" cache="Slicer_Category" caption="Category" style="SlicerStyleDark5" rowHeight="241300"/>
  <slicer name="City" xr10:uid="{E8240B08-9094-4D2B-B8D0-0B9DD02289E4}" cache="Slicer_City" caption="City" style="SlicerStyleDark5" rowHeight="241300"/>
  <slicer name="Sales Person" xr10:uid="{65CC4678-1F07-4B0B-AF03-6C951762A505}" cache="Slicer_Sales_Person" caption="Sales Pers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A4309-3F23-4107-9A09-95408F10DED9}" name="Table1" displayName="Table1" ref="A1:K21" totalsRowShown="0" headerRowDxfId="20" headerRowBorderDxfId="19" tableBorderDxfId="18" totalsRowBorderDxfId="17">
  <autoFilter ref="A1:K21" xr:uid="{22EA4309-3F23-4107-9A09-95408F10DED9}"/>
  <sortState xmlns:xlrd2="http://schemas.microsoft.com/office/spreadsheetml/2017/richdata2" ref="A2:K21">
    <sortCondition ref="A2:A21"/>
  </sortState>
  <tableColumns count="11">
    <tableColumn id="1" xr3:uid="{5DDC332A-1BFA-4A55-BE3B-030262404475}" name="Order ID" dataDxfId="16"/>
    <tableColumn id="2" xr3:uid="{C646E209-2ACA-4C06-9C15-A2097AF6B847}" name="Date" dataDxfId="15"/>
    <tableColumn id="3" xr3:uid="{CD80BE2B-A9EC-40B4-8E86-AEBA07A362EA}" name="Month" dataDxfId="14"/>
    <tableColumn id="4" xr3:uid="{A6E5FDE5-EB09-4A7E-B204-1B4158307FCB}" name="Product" dataDxfId="13"/>
    <tableColumn id="5" xr3:uid="{6C57DB22-0268-4EC1-A850-B240D21644C0}" name="Category" dataDxfId="12"/>
    <tableColumn id="6" xr3:uid="{F0B78D05-165A-4E53-849A-CD5C819ABA41}" name="City" dataDxfId="11"/>
    <tableColumn id="7" xr3:uid="{2A416FD1-47EA-47C3-B671-F1E75720013B}" name="Sales Person" dataDxfId="10"/>
    <tableColumn id="8" xr3:uid="{E6595B7D-3948-4216-8225-10BE366D6387}" name="Units Sold" dataDxfId="9"/>
    <tableColumn id="9" xr3:uid="{F09539DE-BA11-47FE-B209-6FCB5009BDBA}" name="Price" dataDxfId="8"/>
    <tableColumn id="10" xr3:uid="{6F31EA68-0B3E-44C8-89EE-9AEA30C21F63}" name="Sales" dataDxfId="7"/>
    <tableColumn id="11" xr3:uid="{746DEEF5-F4D6-4D57-AE09-4F22F5CAC062}" name="Profit" dataDxfId="6"/>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1369-E5AA-4295-A96E-D0B8C0DD937D}">
  <dimension ref="A1:M35"/>
  <sheetViews>
    <sheetView topLeftCell="A19" zoomScale="89" zoomScaleNormal="89" workbookViewId="0">
      <selection activeCell="F33" sqref="F33"/>
    </sheetView>
  </sheetViews>
  <sheetFormatPr defaultRowHeight="14.5" x14ac:dyDescent="0.35"/>
  <cols>
    <col min="1" max="1" width="16.6328125" bestFit="1" customWidth="1"/>
    <col min="2" max="2" width="16.08984375" bestFit="1" customWidth="1"/>
    <col min="3" max="3" width="13.81640625" bestFit="1" customWidth="1"/>
    <col min="4" max="4" width="14.7265625" bestFit="1" customWidth="1"/>
    <col min="5" max="5" width="15.6328125" bestFit="1" customWidth="1"/>
    <col min="6" max="6" width="15.90625" bestFit="1" customWidth="1"/>
    <col min="7" max="7" width="16.08984375" bestFit="1" customWidth="1"/>
    <col min="8" max="8" width="11.36328125" bestFit="1" customWidth="1"/>
    <col min="9" max="9" width="16.08984375" customWidth="1"/>
    <col min="10" max="10" width="13.36328125" bestFit="1" customWidth="1"/>
    <col min="11" max="11" width="8" bestFit="1" customWidth="1"/>
    <col min="12" max="12" width="9.7265625" bestFit="1" customWidth="1"/>
    <col min="13" max="13" width="10.08984375" bestFit="1" customWidth="1"/>
    <col min="14" max="14" width="6" bestFit="1" customWidth="1"/>
  </cols>
  <sheetData>
    <row r="1" spans="1:13" ht="15.5" x14ac:dyDescent="0.35">
      <c r="A1" s="7" t="s">
        <v>0</v>
      </c>
      <c r="B1" s="8" t="s">
        <v>1</v>
      </c>
      <c r="C1" s="8" t="s">
        <v>2</v>
      </c>
      <c r="D1" s="8" t="s">
        <v>3</v>
      </c>
      <c r="E1" s="8" t="s">
        <v>4</v>
      </c>
      <c r="F1" s="8" t="s">
        <v>5</v>
      </c>
      <c r="G1" s="8" t="s">
        <v>6</v>
      </c>
      <c r="H1" s="9" t="s">
        <v>7</v>
      </c>
      <c r="I1" s="3" t="s">
        <v>37</v>
      </c>
      <c r="K1" s="16"/>
      <c r="M1" s="10" t="s">
        <v>38</v>
      </c>
    </row>
    <row r="2" spans="1:13" x14ac:dyDescent="0.35">
      <c r="A2" s="11">
        <v>1001</v>
      </c>
      <c r="B2" s="1" t="s">
        <v>8</v>
      </c>
      <c r="C2" s="1" t="s">
        <v>18</v>
      </c>
      <c r="D2" s="1" t="s">
        <v>22</v>
      </c>
      <c r="E2" s="1" t="s">
        <v>29</v>
      </c>
      <c r="F2" s="1">
        <v>2</v>
      </c>
      <c r="G2" s="1">
        <v>55000</v>
      </c>
      <c r="H2" s="12">
        <v>110000</v>
      </c>
      <c r="I2" s="1" t="str">
        <f t="shared" ref="I2:I11" si="0">IF(H2&gt;20000,"high","low")</f>
        <v>high</v>
      </c>
      <c r="M2" s="6">
        <f>SUMIF(C2:C11,C10,H2:H11)</f>
        <v>980</v>
      </c>
    </row>
    <row r="3" spans="1:13" ht="15" customHeight="1" x14ac:dyDescent="0.35">
      <c r="A3" s="11">
        <v>1007</v>
      </c>
      <c r="B3" s="1" t="s">
        <v>14</v>
      </c>
      <c r="C3" s="1" t="s">
        <v>20</v>
      </c>
      <c r="D3" s="1" t="s">
        <v>22</v>
      </c>
      <c r="E3" s="1" t="s">
        <v>29</v>
      </c>
      <c r="F3" s="1">
        <v>2</v>
      </c>
      <c r="G3" s="1">
        <v>55000</v>
      </c>
      <c r="H3" s="12">
        <v>110000</v>
      </c>
      <c r="I3" s="1" t="str">
        <f t="shared" si="0"/>
        <v>high</v>
      </c>
      <c r="M3" s="6">
        <f>COUNTIF(C2:C11,C10)</f>
        <v>1</v>
      </c>
    </row>
    <row r="4" spans="1:13" ht="15" customHeight="1" x14ac:dyDescent="0.35">
      <c r="A4" s="11">
        <v>1009</v>
      </c>
      <c r="B4" s="1" t="s">
        <v>16</v>
      </c>
      <c r="C4" s="1" t="s">
        <v>21</v>
      </c>
      <c r="D4" s="1" t="s">
        <v>22</v>
      </c>
      <c r="E4" s="1" t="s">
        <v>29</v>
      </c>
      <c r="F4" s="1">
        <v>2</v>
      </c>
      <c r="G4" s="1">
        <v>55000</v>
      </c>
      <c r="H4" s="12">
        <v>110000</v>
      </c>
      <c r="I4" s="1" t="str">
        <f t="shared" si="0"/>
        <v>high</v>
      </c>
      <c r="M4" s="5" t="s">
        <v>39</v>
      </c>
    </row>
    <row r="5" spans="1:13" ht="15" customHeight="1" x14ac:dyDescent="0.35">
      <c r="A5" s="11">
        <v>1004</v>
      </c>
      <c r="B5" s="1" t="s">
        <v>11</v>
      </c>
      <c r="C5" s="1" t="s">
        <v>20</v>
      </c>
      <c r="D5" s="1" t="s">
        <v>25</v>
      </c>
      <c r="E5" s="1" t="s">
        <v>29</v>
      </c>
      <c r="F5" s="1">
        <v>6</v>
      </c>
      <c r="G5" s="1">
        <v>35000</v>
      </c>
      <c r="H5" s="12">
        <v>45000</v>
      </c>
      <c r="I5" s="1" t="str">
        <f t="shared" si="0"/>
        <v>high</v>
      </c>
      <c r="M5" s="6">
        <f>SUMIF(C2:C11,C6,H2:H11)</f>
        <v>155800</v>
      </c>
    </row>
    <row r="6" spans="1:13" ht="15" customHeight="1" x14ac:dyDescent="0.35">
      <c r="A6" s="11">
        <v>1008</v>
      </c>
      <c r="B6" s="1" t="s">
        <v>15</v>
      </c>
      <c r="C6" s="1" t="s">
        <v>21</v>
      </c>
      <c r="D6" s="1" t="s">
        <v>25</v>
      </c>
      <c r="E6" s="1" t="s">
        <v>29</v>
      </c>
      <c r="F6" s="1">
        <v>1</v>
      </c>
      <c r="G6" s="1">
        <v>35000</v>
      </c>
      <c r="H6" s="12">
        <v>45000</v>
      </c>
      <c r="I6" s="1" t="str">
        <f t="shared" si="0"/>
        <v>high</v>
      </c>
      <c r="M6" s="6">
        <f>COUNTIF(C2:C11,C6)</f>
        <v>3</v>
      </c>
    </row>
    <row r="7" spans="1:13" ht="15" customHeight="1" x14ac:dyDescent="0.35">
      <c r="A7" s="11">
        <v>1003</v>
      </c>
      <c r="B7" s="1" t="s">
        <v>10</v>
      </c>
      <c r="C7" s="1" t="s">
        <v>18</v>
      </c>
      <c r="D7" s="1" t="s">
        <v>24</v>
      </c>
      <c r="E7" s="1" t="s">
        <v>31</v>
      </c>
      <c r="F7" s="1">
        <v>1</v>
      </c>
      <c r="G7" s="1">
        <v>5000</v>
      </c>
      <c r="H7" s="12">
        <v>7000</v>
      </c>
      <c r="I7" s="1" t="str">
        <f t="shared" si="0"/>
        <v>low</v>
      </c>
      <c r="M7" s="5" t="s">
        <v>40</v>
      </c>
    </row>
    <row r="8" spans="1:13" ht="15" customHeight="1" x14ac:dyDescent="0.35">
      <c r="A8" s="11">
        <v>1006</v>
      </c>
      <c r="B8" s="1" t="s">
        <v>13</v>
      </c>
      <c r="C8" s="1" t="s">
        <v>18</v>
      </c>
      <c r="D8" s="1" t="s">
        <v>27</v>
      </c>
      <c r="E8" s="1" t="s">
        <v>31</v>
      </c>
      <c r="F8" s="1">
        <v>4</v>
      </c>
      <c r="G8" s="1">
        <v>4000</v>
      </c>
      <c r="H8" s="12">
        <v>7000</v>
      </c>
      <c r="I8" s="1" t="str">
        <f t="shared" si="0"/>
        <v>low</v>
      </c>
      <c r="M8" s="6">
        <f>SUMIF(C2:C11,C5,H2:H11)</f>
        <v>156000</v>
      </c>
    </row>
    <row r="9" spans="1:13" ht="15" customHeight="1" x14ac:dyDescent="0.35">
      <c r="A9" s="11">
        <v>1010</v>
      </c>
      <c r="B9" s="1" t="s">
        <v>17</v>
      </c>
      <c r="C9" s="1" t="s">
        <v>20</v>
      </c>
      <c r="D9" s="1" t="s">
        <v>28</v>
      </c>
      <c r="E9" s="1" t="s">
        <v>29</v>
      </c>
      <c r="F9" s="1">
        <v>4</v>
      </c>
      <c r="G9" s="1">
        <v>600</v>
      </c>
      <c r="H9" s="12">
        <v>1000</v>
      </c>
      <c r="I9" s="1" t="str">
        <f t="shared" si="0"/>
        <v>low</v>
      </c>
      <c r="M9" s="6">
        <f>COUNTIF(C2:C11,C5)</f>
        <v>3</v>
      </c>
    </row>
    <row r="10" spans="1:13" ht="15" customHeight="1" x14ac:dyDescent="0.35">
      <c r="A10" s="11">
        <v>1002</v>
      </c>
      <c r="B10" s="1" t="s">
        <v>9</v>
      </c>
      <c r="C10" s="1" t="s">
        <v>19</v>
      </c>
      <c r="D10" s="1" t="s">
        <v>23</v>
      </c>
      <c r="E10" s="1" t="s">
        <v>30</v>
      </c>
      <c r="F10" s="1">
        <v>4</v>
      </c>
      <c r="G10" s="1">
        <v>700</v>
      </c>
      <c r="H10" s="12">
        <v>980</v>
      </c>
      <c r="I10" s="1" t="str">
        <f t="shared" si="0"/>
        <v>low</v>
      </c>
      <c r="M10" s="5" t="s">
        <v>41</v>
      </c>
    </row>
    <row r="11" spans="1:13" ht="15" customHeight="1" thickBot="1" x14ac:dyDescent="0.4">
      <c r="A11" s="13">
        <v>1005</v>
      </c>
      <c r="B11" s="14" t="s">
        <v>12</v>
      </c>
      <c r="C11" s="14" t="s">
        <v>21</v>
      </c>
      <c r="D11" s="14" t="s">
        <v>26</v>
      </c>
      <c r="E11" s="14" t="s">
        <v>30</v>
      </c>
      <c r="F11" s="14">
        <v>3</v>
      </c>
      <c r="G11" s="14">
        <v>500</v>
      </c>
      <c r="H11" s="15">
        <v>800</v>
      </c>
      <c r="I11" s="1" t="str">
        <f t="shared" si="0"/>
        <v>low</v>
      </c>
      <c r="M11" s="6">
        <f>SUMIF(C2:C11,C2,H2:H11)</f>
        <v>124000</v>
      </c>
    </row>
    <row r="12" spans="1:13" x14ac:dyDescent="0.35">
      <c r="M12" s="6">
        <f>COUNTIF(C2:C11,C2)</f>
        <v>3</v>
      </c>
    </row>
    <row r="15" spans="1:13" ht="15.5" x14ac:dyDescent="0.35">
      <c r="A15" s="2" t="s">
        <v>32</v>
      </c>
      <c r="B15" s="2" t="s">
        <v>33</v>
      </c>
      <c r="C15" s="2" t="s">
        <v>34</v>
      </c>
      <c r="D15" s="2" t="s">
        <v>35</v>
      </c>
      <c r="E15" s="2" t="s">
        <v>36</v>
      </c>
    </row>
    <row r="16" spans="1:13" x14ac:dyDescent="0.35">
      <c r="A16" s="4">
        <f>SUM(H2:H11)</f>
        <v>436780</v>
      </c>
      <c r="B16" s="1">
        <f>AVERAGE(H2:H11)</f>
        <v>43678</v>
      </c>
      <c r="C16" s="1">
        <f>MIN(H2:H11)</f>
        <v>800</v>
      </c>
      <c r="D16" s="1">
        <f>MAX(H2:H11)</f>
        <v>110000</v>
      </c>
      <c r="E16" s="1">
        <f>COUNT(H2:H11)</f>
        <v>10</v>
      </c>
    </row>
    <row r="18" spans="1:10" ht="15" thickBot="1" x14ac:dyDescent="0.4"/>
    <row r="19" spans="1:10" ht="15.5" x14ac:dyDescent="0.35">
      <c r="A19" s="29" t="s">
        <v>43</v>
      </c>
      <c r="B19" s="30" t="s">
        <v>44</v>
      </c>
      <c r="C19" s="30" t="s">
        <v>45</v>
      </c>
      <c r="D19" s="30" t="s">
        <v>46</v>
      </c>
      <c r="E19" s="30" t="s">
        <v>47</v>
      </c>
      <c r="F19" s="30" t="s">
        <v>48</v>
      </c>
      <c r="G19" s="30" t="s">
        <v>49</v>
      </c>
      <c r="H19" s="30" t="s">
        <v>50</v>
      </c>
      <c r="I19" s="30" t="s">
        <v>68</v>
      </c>
      <c r="J19" s="32" t="s">
        <v>69</v>
      </c>
    </row>
    <row r="20" spans="1:10" ht="15.5" x14ac:dyDescent="0.35">
      <c r="A20" s="22">
        <v>25021</v>
      </c>
      <c r="B20" s="18" t="s">
        <v>60</v>
      </c>
      <c r="C20" s="18" t="s">
        <v>61</v>
      </c>
      <c r="D20" s="27">
        <v>30000</v>
      </c>
      <c r="E20" s="18">
        <v>21</v>
      </c>
      <c r="F20" s="18" t="s">
        <v>64</v>
      </c>
      <c r="G20" s="19">
        <v>3.9</v>
      </c>
      <c r="H20" s="20">
        <v>3000</v>
      </c>
      <c r="I20" s="1" t="str">
        <f>IF(G20&gt;3.7,"BONUS","NO BONUS")</f>
        <v>BONUS</v>
      </c>
      <c r="J20" s="33">
        <f>SUM($D20,$H20)</f>
        <v>33000</v>
      </c>
    </row>
    <row r="21" spans="1:10" ht="15.5" x14ac:dyDescent="0.35">
      <c r="A21" s="22">
        <v>25022</v>
      </c>
      <c r="B21" s="18" t="s">
        <v>51</v>
      </c>
      <c r="C21" s="18" t="s">
        <v>73</v>
      </c>
      <c r="D21" s="27">
        <v>34000</v>
      </c>
      <c r="E21" s="18">
        <v>25</v>
      </c>
      <c r="F21" s="18" t="s">
        <v>66</v>
      </c>
      <c r="G21" s="19">
        <v>4</v>
      </c>
      <c r="H21" s="20">
        <v>5000</v>
      </c>
      <c r="I21" s="1" t="str">
        <f t="shared" ref="I21:I29" si="1">IF(G21&gt;3.7,"BONUS","NO BONUS")</f>
        <v>BONUS</v>
      </c>
      <c r="J21" s="33">
        <f t="shared" ref="J21:J29" si="2">SUM($D21,$H21)</f>
        <v>39000</v>
      </c>
    </row>
    <row r="22" spans="1:10" ht="15.5" x14ac:dyDescent="0.35">
      <c r="A22" s="22">
        <v>25023</v>
      </c>
      <c r="B22" s="18" t="s">
        <v>52</v>
      </c>
      <c r="C22" s="18" t="s">
        <v>62</v>
      </c>
      <c r="D22" s="27">
        <v>32000</v>
      </c>
      <c r="E22" s="18">
        <v>23</v>
      </c>
      <c r="F22" s="18" t="s">
        <v>65</v>
      </c>
      <c r="G22" s="19">
        <v>4</v>
      </c>
      <c r="H22" s="20">
        <v>4000</v>
      </c>
      <c r="I22" s="1" t="str">
        <f t="shared" si="1"/>
        <v>BONUS</v>
      </c>
      <c r="J22" s="33">
        <f t="shared" si="2"/>
        <v>36000</v>
      </c>
    </row>
    <row r="23" spans="1:10" ht="15.5" x14ac:dyDescent="0.35">
      <c r="A23" s="22">
        <v>25024</v>
      </c>
      <c r="B23" s="18" t="s">
        <v>53</v>
      </c>
      <c r="C23" s="18" t="s">
        <v>63</v>
      </c>
      <c r="D23" s="27">
        <v>40000</v>
      </c>
      <c r="E23" s="18">
        <v>26</v>
      </c>
      <c r="F23" s="18" t="s">
        <v>67</v>
      </c>
      <c r="G23" s="19">
        <v>4.5</v>
      </c>
      <c r="H23" s="20">
        <v>6000</v>
      </c>
      <c r="I23" s="1" t="str">
        <f t="shared" si="1"/>
        <v>BONUS</v>
      </c>
      <c r="J23" s="33">
        <f t="shared" si="2"/>
        <v>46000</v>
      </c>
    </row>
    <row r="24" spans="1:10" ht="15.5" x14ac:dyDescent="0.35">
      <c r="A24" s="22">
        <v>25025</v>
      </c>
      <c r="B24" s="18" t="s">
        <v>54</v>
      </c>
      <c r="C24" s="18" t="s">
        <v>73</v>
      </c>
      <c r="D24" s="27">
        <v>28000</v>
      </c>
      <c r="E24" s="18">
        <v>23</v>
      </c>
      <c r="F24" s="18" t="s">
        <v>65</v>
      </c>
      <c r="G24" s="19">
        <v>4.2</v>
      </c>
      <c r="H24" s="20">
        <v>2500</v>
      </c>
      <c r="I24" s="1" t="str">
        <f t="shared" si="1"/>
        <v>BONUS</v>
      </c>
      <c r="J24" s="33">
        <f t="shared" si="2"/>
        <v>30500</v>
      </c>
    </row>
    <row r="25" spans="1:10" ht="15.5" x14ac:dyDescent="0.35">
      <c r="A25" s="22">
        <v>25026</v>
      </c>
      <c r="B25" s="18" t="s">
        <v>55</v>
      </c>
      <c r="C25" s="18" t="s">
        <v>61</v>
      </c>
      <c r="D25" s="27">
        <v>29000</v>
      </c>
      <c r="E25" s="18">
        <v>24</v>
      </c>
      <c r="F25" s="18" t="s">
        <v>66</v>
      </c>
      <c r="G25" s="19">
        <v>3.7</v>
      </c>
      <c r="H25" s="20">
        <v>2000</v>
      </c>
      <c r="I25" s="1" t="str">
        <f t="shared" si="1"/>
        <v>NO BONUS</v>
      </c>
      <c r="J25" s="33">
        <f t="shared" si="2"/>
        <v>31000</v>
      </c>
    </row>
    <row r="26" spans="1:10" ht="15.5" x14ac:dyDescent="0.35">
      <c r="A26" s="22">
        <v>25027</v>
      </c>
      <c r="B26" s="18" t="s">
        <v>56</v>
      </c>
      <c r="C26" s="18" t="s">
        <v>63</v>
      </c>
      <c r="D26" s="27">
        <v>45000</v>
      </c>
      <c r="E26" s="18">
        <v>26</v>
      </c>
      <c r="F26" s="18" t="s">
        <v>67</v>
      </c>
      <c r="G26" s="19">
        <v>4</v>
      </c>
      <c r="H26" s="20">
        <v>5000</v>
      </c>
      <c r="I26" s="1" t="str">
        <f t="shared" si="1"/>
        <v>BONUS</v>
      </c>
      <c r="J26" s="33">
        <f t="shared" si="2"/>
        <v>50000</v>
      </c>
    </row>
    <row r="27" spans="1:10" ht="15.5" x14ac:dyDescent="0.35">
      <c r="A27" s="22">
        <v>25028</v>
      </c>
      <c r="B27" s="18" t="s">
        <v>57</v>
      </c>
      <c r="C27" s="18" t="s">
        <v>62</v>
      </c>
      <c r="D27" s="27">
        <v>25000</v>
      </c>
      <c r="E27" s="18">
        <v>25</v>
      </c>
      <c r="F27" s="18" t="s">
        <v>65</v>
      </c>
      <c r="G27" s="19">
        <v>3.5</v>
      </c>
      <c r="H27" s="20">
        <v>2000</v>
      </c>
      <c r="I27" s="1" t="str">
        <f t="shared" si="1"/>
        <v>NO BONUS</v>
      </c>
      <c r="J27" s="33">
        <f t="shared" si="2"/>
        <v>27000</v>
      </c>
    </row>
    <row r="28" spans="1:10" ht="15.5" x14ac:dyDescent="0.35">
      <c r="A28" s="22">
        <v>25029</v>
      </c>
      <c r="B28" s="18" t="s">
        <v>58</v>
      </c>
      <c r="C28" s="18" t="s">
        <v>73</v>
      </c>
      <c r="D28" s="27">
        <v>35000</v>
      </c>
      <c r="E28" s="18">
        <v>21</v>
      </c>
      <c r="F28" s="18" t="s">
        <v>65</v>
      </c>
      <c r="G28" s="19">
        <v>4.5</v>
      </c>
      <c r="H28" s="20">
        <v>5500</v>
      </c>
      <c r="I28" s="1" t="str">
        <f t="shared" si="1"/>
        <v>BONUS</v>
      </c>
      <c r="J28" s="33">
        <f t="shared" si="2"/>
        <v>40500</v>
      </c>
    </row>
    <row r="29" spans="1:10" ht="16" thickBot="1" x14ac:dyDescent="0.4">
      <c r="A29" s="23">
        <v>25030</v>
      </c>
      <c r="B29" s="24" t="s">
        <v>59</v>
      </c>
      <c r="C29" s="24" t="s">
        <v>73</v>
      </c>
      <c r="D29" s="28">
        <v>32000</v>
      </c>
      <c r="E29" s="24">
        <v>24</v>
      </c>
      <c r="F29" s="24" t="s">
        <v>66</v>
      </c>
      <c r="G29" s="25">
        <v>4</v>
      </c>
      <c r="H29" s="26">
        <v>4500</v>
      </c>
      <c r="I29" s="14" t="str">
        <f t="shared" si="1"/>
        <v>BONUS</v>
      </c>
      <c r="J29" s="34">
        <f t="shared" si="2"/>
        <v>36500</v>
      </c>
    </row>
    <row r="32" spans="1:10" x14ac:dyDescent="0.35">
      <c r="A32" s="31" t="s">
        <v>7</v>
      </c>
      <c r="B32" s="31" t="s">
        <v>70</v>
      </c>
      <c r="C32" s="31" t="s">
        <v>71</v>
      </c>
      <c r="D32" s="31" t="s">
        <v>72</v>
      </c>
      <c r="E32" s="16"/>
    </row>
    <row r="33" spans="1:4" x14ac:dyDescent="0.35">
      <c r="A33" s="21">
        <f>COUNTIF(C20:C29,C20)</f>
        <v>2</v>
      </c>
      <c r="B33" s="21">
        <f>COUNTIF(C20:C29,C22)</f>
        <v>2</v>
      </c>
      <c r="C33" s="21">
        <f>COUNTIF(C20:C29,C23)</f>
        <v>2</v>
      </c>
      <c r="D33" s="21">
        <f>COUNTIF(C20:C29,C21)</f>
        <v>4</v>
      </c>
    </row>
    <row r="34" spans="1:4" x14ac:dyDescent="0.35">
      <c r="A34" s="21">
        <f>SUMIF(C20:C29,C20,J20:J29)</f>
        <v>64000</v>
      </c>
      <c r="B34" s="21">
        <f>SUMIF(C20:C29,C22,J20:J29)</f>
        <v>63000</v>
      </c>
      <c r="C34" s="21">
        <f>SUMIF(C20:C29,C23,J20:J29)</f>
        <v>96000</v>
      </c>
      <c r="D34" s="21">
        <f>SUMIF(C20:C29,C21,J20:J29)</f>
        <v>146500</v>
      </c>
    </row>
    <row r="35" spans="1:4" x14ac:dyDescent="0.35">
      <c r="A35" s="21">
        <f>AVERAGEIF(C20:C29,C20,J20:J29)</f>
        <v>32000</v>
      </c>
      <c r="B35" s="21">
        <f>AVERAGEIF(C20:C29,C22,J20:J29)</f>
        <v>31500</v>
      </c>
      <c r="C35" s="21">
        <f>AVERAGEIF(C20:C29,C23,J20:J29)</f>
        <v>48000</v>
      </c>
      <c r="D35" s="21">
        <f>AVERAGEIF(C20:C29,C21,J20:J29)</f>
        <v>36625</v>
      </c>
    </row>
  </sheetData>
  <autoFilter ref="A1:I11" xr:uid="{971D1369-E5AA-4295-A96E-D0B8C0DD937D}"/>
  <sortState xmlns:xlrd2="http://schemas.microsoft.com/office/spreadsheetml/2017/richdata2" ref="A2:I11">
    <sortCondition descending="1" ref="H2:H11"/>
  </sortState>
  <conditionalFormatting sqref="C2:C11">
    <cfRule type="containsText" dxfId="5" priority="2" operator="containsText" text="KOTA">
      <formula>NOT(ISERROR(SEARCH("KOTA",C2)))</formula>
    </cfRule>
    <cfRule type="containsText" dxfId="4" priority="3" operator="containsText" text="jaipur">
      <formula>NOT(ISERROR(SEARCH("jaipur",C2)))</formula>
    </cfRule>
  </conditionalFormatting>
  <conditionalFormatting sqref="D2:D11">
    <cfRule type="containsText" dxfId="3" priority="1" operator="containsText" text="LAPTOP">
      <formula>NOT(ISERROR(SEARCH("LAPTOP",D2)))</formula>
    </cfRule>
  </conditionalFormatting>
  <conditionalFormatting sqref="H2:H11">
    <cfRule type="cellIs" dxfId="2" priority="4" operator="lessThan">
      <formula>5000</formula>
    </cfRule>
    <cfRule type="cellIs" dxfId="1" priority="5" operator="greaterThan">
      <formula>20000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D26C0-BADA-4189-889C-9A368177B845}">
  <dimension ref="A1:B11"/>
  <sheetViews>
    <sheetView workbookViewId="0">
      <selection activeCell="K5" sqref="K5"/>
    </sheetView>
  </sheetViews>
  <sheetFormatPr defaultRowHeight="14.5" x14ac:dyDescent="0.35"/>
  <cols>
    <col min="1" max="1" width="12.36328125" bestFit="1" customWidth="1"/>
    <col min="2" max="2" width="5.81640625" bestFit="1" customWidth="1"/>
  </cols>
  <sheetData>
    <row r="1" spans="1:2" x14ac:dyDescent="0.35">
      <c r="A1" s="17" t="s">
        <v>3</v>
      </c>
      <c r="B1" s="17" t="s">
        <v>42</v>
      </c>
    </row>
    <row r="2" spans="1:2" x14ac:dyDescent="0.35">
      <c r="A2" s="1" t="s">
        <v>22</v>
      </c>
      <c r="B2" s="1">
        <f>VLOOKUP('Sales Data'!D2,CHOOSE({1,2},'Sales Data'!D2:D11,'Sales Data'!G2:G11),2,)</f>
        <v>55000</v>
      </c>
    </row>
    <row r="3" spans="1:2" x14ac:dyDescent="0.35">
      <c r="A3" s="1" t="s">
        <v>22</v>
      </c>
      <c r="B3" s="1">
        <f>VLOOKUP('Sales Data'!D3,CHOOSE({1,2},'Sales Data'!D3:D12,'Sales Data'!G3:G12),2,)</f>
        <v>55000</v>
      </c>
    </row>
    <row r="4" spans="1:2" x14ac:dyDescent="0.35">
      <c r="A4" s="1" t="s">
        <v>22</v>
      </c>
      <c r="B4" s="1">
        <f>VLOOKUP('Sales Data'!D4,CHOOSE({1,2},'Sales Data'!D4:D13,'Sales Data'!G4:G13),2,)</f>
        <v>55000</v>
      </c>
    </row>
    <row r="5" spans="1:2" x14ac:dyDescent="0.35">
      <c r="A5" s="1" t="s">
        <v>25</v>
      </c>
      <c r="B5" s="1">
        <f>VLOOKUP('Sales Data'!D5,CHOOSE({1,2},'Sales Data'!D5:D14,'Sales Data'!G5:G14),2,)</f>
        <v>35000</v>
      </c>
    </row>
    <row r="6" spans="1:2" x14ac:dyDescent="0.35">
      <c r="A6" s="1" t="s">
        <v>25</v>
      </c>
      <c r="B6" s="1">
        <f>VLOOKUP('Sales Data'!D6,CHOOSE({1,2},'Sales Data'!D6:D15,'Sales Data'!G6:G15),2,)</f>
        <v>35000</v>
      </c>
    </row>
    <row r="7" spans="1:2" x14ac:dyDescent="0.35">
      <c r="A7" s="1" t="s">
        <v>24</v>
      </c>
      <c r="B7" s="1">
        <f>VLOOKUP('Sales Data'!D7,CHOOSE({1,2},'Sales Data'!D7:D16,'Sales Data'!G7:G16),2,)</f>
        <v>5000</v>
      </c>
    </row>
    <row r="8" spans="1:2" x14ac:dyDescent="0.35">
      <c r="A8" s="1" t="s">
        <v>27</v>
      </c>
      <c r="B8" s="1">
        <f>VLOOKUP('Sales Data'!D8,CHOOSE({1,2},'Sales Data'!D8:D17,'Sales Data'!G8:G17),2,)</f>
        <v>4000</v>
      </c>
    </row>
    <row r="9" spans="1:2" x14ac:dyDescent="0.35">
      <c r="A9" s="1" t="s">
        <v>28</v>
      </c>
      <c r="B9" s="1">
        <f>VLOOKUP('Sales Data'!D9,CHOOSE({1,2},'Sales Data'!D9:D18,'Sales Data'!G9:G18),2,)</f>
        <v>600</v>
      </c>
    </row>
    <row r="10" spans="1:2" x14ac:dyDescent="0.35">
      <c r="A10" s="1" t="s">
        <v>23</v>
      </c>
      <c r="B10" s="1">
        <f>VLOOKUP('Sales Data'!D10,CHOOSE({1,2},'Sales Data'!D10:D19,'Sales Data'!G10:G19),2,)</f>
        <v>700</v>
      </c>
    </row>
    <row r="11" spans="1:2" x14ac:dyDescent="0.35">
      <c r="A11" s="1" t="s">
        <v>26</v>
      </c>
      <c r="B11" s="1">
        <f>VLOOKUP('Sales Data'!D11,CHOOSE({1,2},'Sales Data'!D11:D20,'Sales Data'!G11:G20),2,)</f>
        <v>500</v>
      </c>
    </row>
  </sheetData>
  <conditionalFormatting sqref="A2:A11">
    <cfRule type="containsText" dxfId="0" priority="1" operator="containsText" text="LAPTOP">
      <formula>NOT(ISERROR(SEARCH("LAPTOP",A2)))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5271-CF3D-4136-97E1-8FDC8E1AABEE}">
  <dimension ref="A1:M26"/>
  <sheetViews>
    <sheetView zoomScale="85" workbookViewId="0">
      <selection activeCell="M26" sqref="M26"/>
    </sheetView>
  </sheetViews>
  <sheetFormatPr defaultRowHeight="14.5" x14ac:dyDescent="0.35"/>
  <cols>
    <col min="1" max="1" width="12.81640625" bestFit="1" customWidth="1"/>
    <col min="2" max="2" width="10.90625" bestFit="1" customWidth="1"/>
    <col min="3" max="3" width="11.26953125" bestFit="1" customWidth="1"/>
    <col min="4" max="4" width="12.1796875" bestFit="1" customWidth="1"/>
    <col min="5" max="5" width="13.1796875" bestFit="1" customWidth="1"/>
    <col min="6" max="6" width="8.90625" bestFit="1" customWidth="1"/>
    <col min="7" max="7" width="16.1796875" bestFit="1" customWidth="1"/>
    <col min="8" max="8" width="14.08984375" bestFit="1" customWidth="1"/>
    <col min="9" max="9" width="9.81640625" bestFit="1" customWidth="1"/>
    <col min="10" max="10" width="10" bestFit="1" customWidth="1"/>
    <col min="11" max="11" width="10.36328125" bestFit="1" customWidth="1"/>
    <col min="13" max="13" width="28.26953125" customWidth="1"/>
    <col min="14" max="14" width="16.81640625" customWidth="1"/>
  </cols>
  <sheetData>
    <row r="1" spans="1:13" x14ac:dyDescent="0.35">
      <c r="A1" s="42" t="s">
        <v>74</v>
      </c>
      <c r="B1" s="43" t="s">
        <v>75</v>
      </c>
      <c r="C1" s="43" t="s">
        <v>76</v>
      </c>
      <c r="D1" s="43" t="s">
        <v>77</v>
      </c>
      <c r="E1" s="43" t="s">
        <v>78</v>
      </c>
      <c r="F1" s="43" t="s">
        <v>79</v>
      </c>
      <c r="G1" s="43" t="s">
        <v>80</v>
      </c>
      <c r="H1" s="43" t="s">
        <v>81</v>
      </c>
      <c r="I1" s="43" t="s">
        <v>82</v>
      </c>
      <c r="J1" s="43" t="s">
        <v>83</v>
      </c>
      <c r="K1" s="44" t="s">
        <v>84</v>
      </c>
      <c r="M1" s="50" t="s">
        <v>106</v>
      </c>
    </row>
    <row r="2" spans="1:13" x14ac:dyDescent="0.35">
      <c r="A2" s="40">
        <v>1001</v>
      </c>
      <c r="B2" s="38">
        <v>46024</v>
      </c>
      <c r="C2" s="37" t="s">
        <v>85</v>
      </c>
      <c r="D2" s="37" t="s">
        <v>86</v>
      </c>
      <c r="E2" s="37" t="s">
        <v>87</v>
      </c>
      <c r="F2" s="37" t="s">
        <v>88</v>
      </c>
      <c r="G2" s="37" t="s">
        <v>89</v>
      </c>
      <c r="H2" s="37">
        <v>2</v>
      </c>
      <c r="I2" s="39">
        <v>55000</v>
      </c>
      <c r="J2" s="39">
        <v>110000</v>
      </c>
      <c r="K2" s="41">
        <v>18000</v>
      </c>
      <c r="M2" s="6">
        <f>SUM(Table1[Sales])</f>
        <v>979600</v>
      </c>
    </row>
    <row r="3" spans="1:13" x14ac:dyDescent="0.35">
      <c r="A3" s="40">
        <v>1002</v>
      </c>
      <c r="B3" s="38">
        <v>46025</v>
      </c>
      <c r="C3" s="37" t="s">
        <v>85</v>
      </c>
      <c r="D3" s="37" t="s">
        <v>90</v>
      </c>
      <c r="E3" s="37" t="s">
        <v>91</v>
      </c>
      <c r="F3" s="37" t="s">
        <v>92</v>
      </c>
      <c r="G3" s="37" t="s">
        <v>93</v>
      </c>
      <c r="H3" s="37">
        <v>5</v>
      </c>
      <c r="I3" s="39">
        <v>2000</v>
      </c>
      <c r="J3" s="39">
        <v>10000</v>
      </c>
      <c r="K3" s="41">
        <v>3000</v>
      </c>
      <c r="M3" s="50" t="s">
        <v>107</v>
      </c>
    </row>
    <row r="4" spans="1:13" x14ac:dyDescent="0.35">
      <c r="A4" s="40">
        <v>1003</v>
      </c>
      <c r="B4" s="38">
        <v>46027</v>
      </c>
      <c r="C4" s="37" t="s">
        <v>85</v>
      </c>
      <c r="D4" s="37" t="s">
        <v>94</v>
      </c>
      <c r="E4" s="37" t="s">
        <v>87</v>
      </c>
      <c r="F4" s="37" t="s">
        <v>95</v>
      </c>
      <c r="G4" s="37" t="s">
        <v>96</v>
      </c>
      <c r="H4" s="37">
        <v>4</v>
      </c>
      <c r="I4" s="39">
        <v>25000</v>
      </c>
      <c r="J4" s="39">
        <v>100000</v>
      </c>
      <c r="K4" s="41">
        <v>20000</v>
      </c>
      <c r="M4" s="6">
        <f>SUM(Table1[Profit])</f>
        <v>200600</v>
      </c>
    </row>
    <row r="5" spans="1:13" x14ac:dyDescent="0.35">
      <c r="A5" s="40">
        <v>1004</v>
      </c>
      <c r="B5" s="38">
        <v>46030</v>
      </c>
      <c r="C5" s="37" t="s">
        <v>85</v>
      </c>
      <c r="D5" s="37" t="s">
        <v>97</v>
      </c>
      <c r="E5" s="37" t="s">
        <v>98</v>
      </c>
      <c r="F5" s="37" t="s">
        <v>88</v>
      </c>
      <c r="G5" s="37" t="s">
        <v>99</v>
      </c>
      <c r="H5" s="37">
        <v>6</v>
      </c>
      <c r="I5" s="39">
        <v>3000</v>
      </c>
      <c r="J5" s="39">
        <v>18000</v>
      </c>
      <c r="K5" s="41">
        <v>4000</v>
      </c>
      <c r="M5" s="50" t="s">
        <v>108</v>
      </c>
    </row>
    <row r="6" spans="1:13" x14ac:dyDescent="0.35">
      <c r="A6" s="40">
        <v>1005</v>
      </c>
      <c r="B6" s="38">
        <v>46034</v>
      </c>
      <c r="C6" s="37" t="s">
        <v>85</v>
      </c>
      <c r="D6" s="37" t="s">
        <v>100</v>
      </c>
      <c r="E6" s="37" t="s">
        <v>87</v>
      </c>
      <c r="F6" s="37" t="s">
        <v>101</v>
      </c>
      <c r="G6" s="37" t="s">
        <v>93</v>
      </c>
      <c r="H6" s="37">
        <v>8</v>
      </c>
      <c r="I6" s="39">
        <v>1500</v>
      </c>
      <c r="J6" s="39">
        <v>12000</v>
      </c>
      <c r="K6" s="41">
        <v>3500</v>
      </c>
      <c r="M6" s="6">
        <f>MAX(Table1[Sales])</f>
        <v>127500</v>
      </c>
    </row>
    <row r="7" spans="1:13" x14ac:dyDescent="0.35">
      <c r="A7" s="40">
        <v>1006</v>
      </c>
      <c r="B7" s="38">
        <v>46037</v>
      </c>
      <c r="C7" s="37" t="s">
        <v>85</v>
      </c>
      <c r="D7" s="37" t="s">
        <v>102</v>
      </c>
      <c r="E7" s="37" t="s">
        <v>91</v>
      </c>
      <c r="F7" s="37" t="s">
        <v>95</v>
      </c>
      <c r="G7" s="37" t="s">
        <v>89</v>
      </c>
      <c r="H7" s="37">
        <v>7</v>
      </c>
      <c r="I7" s="39">
        <v>1200</v>
      </c>
      <c r="J7" s="39">
        <v>8400</v>
      </c>
      <c r="K7" s="41">
        <v>2500</v>
      </c>
      <c r="M7" s="50" t="s">
        <v>109</v>
      </c>
    </row>
    <row r="8" spans="1:13" x14ac:dyDescent="0.35">
      <c r="A8" s="40">
        <v>1007</v>
      </c>
      <c r="B8" s="38">
        <v>46042</v>
      </c>
      <c r="C8" s="37" t="s">
        <v>85</v>
      </c>
      <c r="D8" s="37" t="s">
        <v>103</v>
      </c>
      <c r="E8" s="37" t="s">
        <v>87</v>
      </c>
      <c r="F8" s="37" t="s">
        <v>92</v>
      </c>
      <c r="G8" s="37" t="s">
        <v>96</v>
      </c>
      <c r="H8" s="37">
        <v>3</v>
      </c>
      <c r="I8" s="39">
        <v>30000</v>
      </c>
      <c r="J8" s="39">
        <v>90000</v>
      </c>
      <c r="K8" s="41">
        <v>17000</v>
      </c>
      <c r="M8" s="6">
        <f>MIN(Table1[Sales])</f>
        <v>8400</v>
      </c>
    </row>
    <row r="9" spans="1:13" x14ac:dyDescent="0.35">
      <c r="A9" s="40">
        <v>1008</v>
      </c>
      <c r="B9" s="38">
        <v>46047</v>
      </c>
      <c r="C9" s="37" t="s">
        <v>85</v>
      </c>
      <c r="D9" s="37" t="s">
        <v>90</v>
      </c>
      <c r="E9" s="37" t="s">
        <v>91</v>
      </c>
      <c r="F9" s="37" t="s">
        <v>88</v>
      </c>
      <c r="G9" s="37" t="s">
        <v>99</v>
      </c>
      <c r="H9" s="37">
        <v>4</v>
      </c>
      <c r="I9" s="39">
        <v>2200</v>
      </c>
      <c r="J9" s="39">
        <v>8800</v>
      </c>
      <c r="K9" s="41">
        <v>2700</v>
      </c>
      <c r="M9" s="50" t="s">
        <v>110</v>
      </c>
    </row>
    <row r="10" spans="1:13" x14ac:dyDescent="0.35">
      <c r="A10" s="40">
        <v>1009</v>
      </c>
      <c r="B10" s="38">
        <v>46055</v>
      </c>
      <c r="C10" s="37" t="s">
        <v>104</v>
      </c>
      <c r="D10" s="37" t="s">
        <v>86</v>
      </c>
      <c r="E10" s="37" t="s">
        <v>87</v>
      </c>
      <c r="F10" s="37" t="s">
        <v>101</v>
      </c>
      <c r="G10" s="37" t="s">
        <v>89</v>
      </c>
      <c r="H10" s="37">
        <v>1</v>
      </c>
      <c r="I10" s="39">
        <v>55000</v>
      </c>
      <c r="J10" s="39">
        <v>55000</v>
      </c>
      <c r="K10" s="41">
        <v>12000</v>
      </c>
      <c r="M10" s="6">
        <f>SUM(Table1[Units Sold])</f>
        <v>99</v>
      </c>
    </row>
    <row r="11" spans="1:13" x14ac:dyDescent="0.35">
      <c r="A11" s="40">
        <v>1010</v>
      </c>
      <c r="B11" s="38">
        <v>46058</v>
      </c>
      <c r="C11" s="37" t="s">
        <v>104</v>
      </c>
      <c r="D11" s="37" t="s">
        <v>94</v>
      </c>
      <c r="E11" s="37" t="s">
        <v>87</v>
      </c>
      <c r="F11" s="37" t="s">
        <v>88</v>
      </c>
      <c r="G11" s="37" t="s">
        <v>93</v>
      </c>
      <c r="H11" s="37">
        <v>3</v>
      </c>
      <c r="I11" s="39">
        <v>26000</v>
      </c>
      <c r="J11" s="39">
        <v>78000</v>
      </c>
      <c r="K11" s="41">
        <v>16000</v>
      </c>
      <c r="M11" s="50" t="s">
        <v>111</v>
      </c>
    </row>
    <row r="12" spans="1:13" x14ac:dyDescent="0.35">
      <c r="A12" s="40">
        <v>1011</v>
      </c>
      <c r="B12" s="38">
        <v>46063</v>
      </c>
      <c r="C12" s="37" t="s">
        <v>104</v>
      </c>
      <c r="D12" s="37" t="s">
        <v>97</v>
      </c>
      <c r="E12" s="37" t="s">
        <v>98</v>
      </c>
      <c r="F12" s="37" t="s">
        <v>92</v>
      </c>
      <c r="G12" s="37" t="s">
        <v>96</v>
      </c>
      <c r="H12" s="37">
        <v>7</v>
      </c>
      <c r="I12" s="39">
        <v>3200</v>
      </c>
      <c r="J12" s="39">
        <v>22400</v>
      </c>
      <c r="K12" s="41">
        <v>5000</v>
      </c>
      <c r="M12" s="6">
        <f>SUMIF(Table1[City],F2,Table1[Sales])</f>
        <v>360300</v>
      </c>
    </row>
    <row r="13" spans="1:13" x14ac:dyDescent="0.35">
      <c r="A13" s="40">
        <v>1012</v>
      </c>
      <c r="B13" s="38">
        <v>46068</v>
      </c>
      <c r="C13" s="37" t="s">
        <v>104</v>
      </c>
      <c r="D13" s="37" t="s">
        <v>102</v>
      </c>
      <c r="E13" s="37" t="s">
        <v>91</v>
      </c>
      <c r="F13" s="37" t="s">
        <v>95</v>
      </c>
      <c r="G13" s="37" t="s">
        <v>99</v>
      </c>
      <c r="H13" s="37">
        <v>6</v>
      </c>
      <c r="I13" s="39">
        <v>1400</v>
      </c>
      <c r="J13" s="39">
        <v>8400</v>
      </c>
      <c r="K13" s="41">
        <v>2200</v>
      </c>
      <c r="M13" s="50" t="s">
        <v>112</v>
      </c>
    </row>
    <row r="14" spans="1:13" x14ac:dyDescent="0.35">
      <c r="A14" s="40">
        <v>1013</v>
      </c>
      <c r="B14" s="38">
        <v>46073</v>
      </c>
      <c r="C14" s="37" t="s">
        <v>104</v>
      </c>
      <c r="D14" s="37" t="s">
        <v>100</v>
      </c>
      <c r="E14" s="37" t="s">
        <v>87</v>
      </c>
      <c r="F14" s="37" t="s">
        <v>88</v>
      </c>
      <c r="G14" s="37" t="s">
        <v>89</v>
      </c>
      <c r="H14" s="37">
        <v>10</v>
      </c>
      <c r="I14" s="39">
        <v>1800</v>
      </c>
      <c r="J14" s="39">
        <v>18000</v>
      </c>
      <c r="K14" s="41">
        <v>5000</v>
      </c>
      <c r="M14" s="6">
        <f>SUMIF(Table1[Category],E2,Table1[Sales])</f>
        <v>861500</v>
      </c>
    </row>
    <row r="15" spans="1:13" x14ac:dyDescent="0.35">
      <c r="A15" s="40">
        <v>1014</v>
      </c>
      <c r="B15" s="38">
        <v>46078</v>
      </c>
      <c r="C15" s="37" t="s">
        <v>104</v>
      </c>
      <c r="D15" s="37" t="s">
        <v>103</v>
      </c>
      <c r="E15" s="37" t="s">
        <v>87</v>
      </c>
      <c r="F15" s="37" t="s">
        <v>101</v>
      </c>
      <c r="G15" s="37" t="s">
        <v>93</v>
      </c>
      <c r="H15" s="37">
        <v>2</v>
      </c>
      <c r="I15" s="39">
        <v>32000</v>
      </c>
      <c r="J15" s="39">
        <v>64000</v>
      </c>
      <c r="K15" s="41">
        <v>13000</v>
      </c>
      <c r="M15" s="50" t="s">
        <v>113</v>
      </c>
    </row>
    <row r="16" spans="1:13" x14ac:dyDescent="0.35">
      <c r="A16" s="40">
        <v>1015</v>
      </c>
      <c r="B16" s="38">
        <v>46084</v>
      </c>
      <c r="C16" s="37" t="s">
        <v>105</v>
      </c>
      <c r="D16" s="37" t="s">
        <v>90</v>
      </c>
      <c r="E16" s="37" t="s">
        <v>91</v>
      </c>
      <c r="F16" s="37" t="s">
        <v>92</v>
      </c>
      <c r="G16" s="37" t="s">
        <v>96</v>
      </c>
      <c r="H16" s="37">
        <v>8</v>
      </c>
      <c r="I16" s="39">
        <v>2100</v>
      </c>
      <c r="J16" s="39">
        <v>16800</v>
      </c>
      <c r="K16" s="41">
        <v>4500</v>
      </c>
      <c r="M16" s="6">
        <f>SUMIF(Table1[Category],E3,Table1[Profit])</f>
        <v>17900</v>
      </c>
    </row>
    <row r="17" spans="1:13" x14ac:dyDescent="0.35">
      <c r="A17" s="40">
        <v>1016</v>
      </c>
      <c r="B17" s="38">
        <v>46089</v>
      </c>
      <c r="C17" s="37" t="s">
        <v>105</v>
      </c>
      <c r="D17" s="37" t="s">
        <v>86</v>
      </c>
      <c r="E17" s="37" t="s">
        <v>87</v>
      </c>
      <c r="F17" s="37" t="s">
        <v>95</v>
      </c>
      <c r="G17" s="37" t="s">
        <v>99</v>
      </c>
      <c r="H17" s="37">
        <v>2</v>
      </c>
      <c r="I17" s="39">
        <v>57000</v>
      </c>
      <c r="J17" s="39">
        <v>114000</v>
      </c>
      <c r="K17" s="41">
        <v>22000</v>
      </c>
      <c r="M17" s="50" t="s">
        <v>114</v>
      </c>
    </row>
    <row r="18" spans="1:13" x14ac:dyDescent="0.35">
      <c r="A18" s="40">
        <v>1017</v>
      </c>
      <c r="B18" s="38">
        <v>46093</v>
      </c>
      <c r="C18" s="37" t="s">
        <v>105</v>
      </c>
      <c r="D18" s="37" t="s">
        <v>94</v>
      </c>
      <c r="E18" s="37" t="s">
        <v>87</v>
      </c>
      <c r="F18" s="37" t="s">
        <v>88</v>
      </c>
      <c r="G18" s="37" t="s">
        <v>93</v>
      </c>
      <c r="H18" s="37">
        <v>5</v>
      </c>
      <c r="I18" s="39">
        <v>25500</v>
      </c>
      <c r="J18" s="39">
        <v>127500</v>
      </c>
      <c r="K18" s="41">
        <v>26000</v>
      </c>
      <c r="M18" s="6">
        <f>COUNTIF(Table1[City],F4)</f>
        <v>5</v>
      </c>
    </row>
    <row r="19" spans="1:13" x14ac:dyDescent="0.35">
      <c r="A19" s="40">
        <v>1018</v>
      </c>
      <c r="B19" s="38">
        <v>46099</v>
      </c>
      <c r="C19" s="37" t="s">
        <v>105</v>
      </c>
      <c r="D19" s="37" t="s">
        <v>102</v>
      </c>
      <c r="E19" s="37" t="s">
        <v>91</v>
      </c>
      <c r="F19" s="37" t="s">
        <v>101</v>
      </c>
      <c r="G19" s="37" t="s">
        <v>89</v>
      </c>
      <c r="H19" s="37">
        <v>9</v>
      </c>
      <c r="I19" s="39">
        <v>1300</v>
      </c>
      <c r="J19" s="39">
        <v>11700</v>
      </c>
      <c r="K19" s="41">
        <v>3000</v>
      </c>
      <c r="M19" s="50" t="s">
        <v>115</v>
      </c>
    </row>
    <row r="20" spans="1:13" x14ac:dyDescent="0.35">
      <c r="A20" s="40">
        <v>1019</v>
      </c>
      <c r="B20" s="38">
        <v>46103</v>
      </c>
      <c r="C20" s="37" t="s">
        <v>105</v>
      </c>
      <c r="D20" s="37" t="s">
        <v>103</v>
      </c>
      <c r="E20" s="37" t="s">
        <v>87</v>
      </c>
      <c r="F20" s="37" t="s">
        <v>92</v>
      </c>
      <c r="G20" s="37" t="s">
        <v>99</v>
      </c>
      <c r="H20" s="37">
        <v>3</v>
      </c>
      <c r="I20" s="39">
        <v>31000</v>
      </c>
      <c r="J20" s="39">
        <v>93000</v>
      </c>
      <c r="K20" s="41">
        <v>18000</v>
      </c>
      <c r="M20" s="6" t="s">
        <v>116</v>
      </c>
    </row>
    <row r="21" spans="1:13" x14ac:dyDescent="0.35">
      <c r="A21" s="45">
        <v>1020</v>
      </c>
      <c r="B21" s="46">
        <v>46109</v>
      </c>
      <c r="C21" s="47" t="s">
        <v>105</v>
      </c>
      <c r="D21" s="47" t="s">
        <v>97</v>
      </c>
      <c r="E21" s="47" t="s">
        <v>98</v>
      </c>
      <c r="F21" s="47" t="s">
        <v>95</v>
      </c>
      <c r="G21" s="47" t="s">
        <v>96</v>
      </c>
      <c r="H21" s="47">
        <v>4</v>
      </c>
      <c r="I21" s="48">
        <v>3400</v>
      </c>
      <c r="J21" s="48">
        <v>13600</v>
      </c>
      <c r="K21" s="49">
        <v>3200</v>
      </c>
      <c r="M21" s="50" t="s">
        <v>117</v>
      </c>
    </row>
    <row r="22" spans="1:13" x14ac:dyDescent="0.35">
      <c r="A22" s="35"/>
      <c r="B22" s="36"/>
      <c r="C22" s="35"/>
      <c r="D22" s="35"/>
      <c r="E22" s="35"/>
      <c r="F22" s="35"/>
      <c r="G22" s="35"/>
      <c r="H22" s="35"/>
      <c r="I22" s="35"/>
      <c r="J22" s="35"/>
      <c r="K22" s="35"/>
      <c r="M22" s="6">
        <f>_xlfn.XLOOKUP(D2,Table1[Product],Table1[Sales])</f>
        <v>110000</v>
      </c>
    </row>
    <row r="23" spans="1:13" x14ac:dyDescent="0.35">
      <c r="M23" s="50" t="s">
        <v>118</v>
      </c>
    </row>
    <row r="24" spans="1:13" x14ac:dyDescent="0.35">
      <c r="M24" s="6">
        <f>SUMIF(Table1[Month],C10,Table1[Profit])</f>
        <v>53200</v>
      </c>
    </row>
    <row r="25" spans="1:13" x14ac:dyDescent="0.35">
      <c r="M25" s="50" t="s">
        <v>125</v>
      </c>
    </row>
    <row r="26" spans="1:13" x14ac:dyDescent="0.35">
      <c r="M26" s="6">
        <f>COUNT(Table1[Order ID])</f>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56BB-930F-4147-BA73-828DD3AB5EAE}">
  <dimension ref="A3:K19"/>
  <sheetViews>
    <sheetView topLeftCell="A8" zoomScale="79" zoomScaleNormal="91" workbookViewId="0">
      <selection activeCell="A4" sqref="A4"/>
    </sheetView>
  </sheetViews>
  <sheetFormatPr defaultRowHeight="14.5" x14ac:dyDescent="0.35"/>
  <cols>
    <col min="1" max="1" width="13.08984375" bestFit="1" customWidth="1"/>
    <col min="2" max="2" width="15.54296875" bestFit="1" customWidth="1"/>
    <col min="4" max="4" width="13.08984375" bestFit="1" customWidth="1"/>
    <col min="5" max="5" width="11.26953125" bestFit="1" customWidth="1"/>
    <col min="6" max="6" width="11.81640625" bestFit="1" customWidth="1"/>
    <col min="7" max="7" width="15.54296875" bestFit="1" customWidth="1"/>
    <col min="8" max="8" width="11.26953125" bestFit="1" customWidth="1"/>
    <col min="10" max="10" width="13.08984375" bestFit="1" customWidth="1"/>
    <col min="11" max="11" width="11.26953125" bestFit="1" customWidth="1"/>
  </cols>
  <sheetData>
    <row r="3" spans="1:11" x14ac:dyDescent="0.35">
      <c r="A3" s="51" t="s">
        <v>119</v>
      </c>
      <c r="B3" t="s">
        <v>121</v>
      </c>
      <c r="D3" s="51" t="s">
        <v>119</v>
      </c>
      <c r="E3" t="s">
        <v>122</v>
      </c>
      <c r="G3" s="51" t="s">
        <v>119</v>
      </c>
      <c r="H3" t="s">
        <v>121</v>
      </c>
      <c r="J3" s="51" t="s">
        <v>119</v>
      </c>
      <c r="K3" t="s">
        <v>121</v>
      </c>
    </row>
    <row r="4" spans="1:11" x14ac:dyDescent="0.35">
      <c r="A4" s="52" t="s">
        <v>88</v>
      </c>
      <c r="B4">
        <v>360300</v>
      </c>
      <c r="D4" s="52" t="s">
        <v>102</v>
      </c>
      <c r="E4">
        <v>7700</v>
      </c>
      <c r="G4" s="52" t="s">
        <v>85</v>
      </c>
      <c r="H4">
        <v>357200</v>
      </c>
      <c r="J4" s="52" t="s">
        <v>98</v>
      </c>
      <c r="K4">
        <v>54000</v>
      </c>
    </row>
    <row r="5" spans="1:11" x14ac:dyDescent="0.35">
      <c r="A5" s="52" t="s">
        <v>95</v>
      </c>
      <c r="B5">
        <v>244400</v>
      </c>
      <c r="D5" s="52" t="s">
        <v>100</v>
      </c>
      <c r="E5">
        <v>8500</v>
      </c>
      <c r="G5" s="52" t="s">
        <v>104</v>
      </c>
      <c r="H5">
        <v>245800</v>
      </c>
      <c r="J5" s="52" t="s">
        <v>87</v>
      </c>
      <c r="K5">
        <v>861500</v>
      </c>
    </row>
    <row r="6" spans="1:11" x14ac:dyDescent="0.35">
      <c r="A6" s="52" t="s">
        <v>92</v>
      </c>
      <c r="B6">
        <v>232200</v>
      </c>
      <c r="D6" s="52" t="s">
        <v>86</v>
      </c>
      <c r="E6">
        <v>52000</v>
      </c>
      <c r="G6" s="52" t="s">
        <v>105</v>
      </c>
      <c r="H6">
        <v>376600</v>
      </c>
      <c r="J6" s="52" t="s">
        <v>91</v>
      </c>
      <c r="K6">
        <v>64100</v>
      </c>
    </row>
    <row r="7" spans="1:11" x14ac:dyDescent="0.35">
      <c r="A7" s="52" t="s">
        <v>101</v>
      </c>
      <c r="B7">
        <v>142700</v>
      </c>
      <c r="D7" s="52" t="s">
        <v>94</v>
      </c>
      <c r="E7">
        <v>62000</v>
      </c>
      <c r="G7" s="52" t="s">
        <v>120</v>
      </c>
      <c r="H7">
        <v>979600</v>
      </c>
      <c r="J7" s="52" t="s">
        <v>120</v>
      </c>
      <c r="K7">
        <v>979600</v>
      </c>
    </row>
    <row r="8" spans="1:11" x14ac:dyDescent="0.35">
      <c r="A8" s="52" t="s">
        <v>120</v>
      </c>
      <c r="B8">
        <v>979600</v>
      </c>
      <c r="D8" s="52" t="s">
        <v>90</v>
      </c>
      <c r="E8">
        <v>10200</v>
      </c>
    </row>
    <row r="9" spans="1:11" x14ac:dyDescent="0.35">
      <c r="D9" s="52" t="s">
        <v>103</v>
      </c>
      <c r="E9">
        <v>48000</v>
      </c>
    </row>
    <row r="10" spans="1:11" x14ac:dyDescent="0.35">
      <c r="D10" s="52" t="s">
        <v>97</v>
      </c>
      <c r="E10">
        <v>12200</v>
      </c>
    </row>
    <row r="11" spans="1:11" x14ac:dyDescent="0.35">
      <c r="D11" s="52" t="s">
        <v>120</v>
      </c>
      <c r="E11">
        <v>200600</v>
      </c>
    </row>
    <row r="14" spans="1:11" x14ac:dyDescent="0.35">
      <c r="A14" s="51" t="s">
        <v>119</v>
      </c>
      <c r="B14" t="s">
        <v>123</v>
      </c>
      <c r="D14" s="51" t="s">
        <v>119</v>
      </c>
      <c r="E14" t="s">
        <v>121</v>
      </c>
      <c r="F14" t="s">
        <v>122</v>
      </c>
      <c r="G14" t="s">
        <v>123</v>
      </c>
    </row>
    <row r="15" spans="1:11" x14ac:dyDescent="0.35">
      <c r="A15" s="52" t="s">
        <v>89</v>
      </c>
      <c r="B15">
        <v>29</v>
      </c>
      <c r="D15" s="52" t="s">
        <v>89</v>
      </c>
      <c r="E15">
        <v>203100</v>
      </c>
      <c r="F15">
        <v>40500</v>
      </c>
      <c r="G15">
        <v>29</v>
      </c>
    </row>
    <row r="16" spans="1:11" x14ac:dyDescent="0.35">
      <c r="A16" s="52" t="s">
        <v>96</v>
      </c>
      <c r="B16">
        <v>26</v>
      </c>
      <c r="D16" s="52" t="s">
        <v>96</v>
      </c>
      <c r="E16">
        <v>242800</v>
      </c>
      <c r="F16">
        <v>49700</v>
      </c>
      <c r="G16">
        <v>26</v>
      </c>
    </row>
    <row r="17" spans="1:7" x14ac:dyDescent="0.35">
      <c r="A17" s="52" t="s">
        <v>99</v>
      </c>
      <c r="B17">
        <v>21</v>
      </c>
      <c r="D17" s="52" t="s">
        <v>99</v>
      </c>
      <c r="E17">
        <v>242200</v>
      </c>
      <c r="F17">
        <v>48900</v>
      </c>
      <c r="G17">
        <v>21</v>
      </c>
    </row>
    <row r="18" spans="1:7" x14ac:dyDescent="0.35">
      <c r="A18" s="52" t="s">
        <v>93</v>
      </c>
      <c r="B18">
        <v>23</v>
      </c>
      <c r="D18" s="52" t="s">
        <v>93</v>
      </c>
      <c r="E18">
        <v>291500</v>
      </c>
      <c r="F18">
        <v>61500</v>
      </c>
      <c r="G18">
        <v>23</v>
      </c>
    </row>
    <row r="19" spans="1:7" x14ac:dyDescent="0.35">
      <c r="A19" s="52" t="s">
        <v>120</v>
      </c>
      <c r="B19">
        <v>99</v>
      </c>
      <c r="D19" s="52" t="s">
        <v>120</v>
      </c>
      <c r="E19">
        <v>979600</v>
      </c>
      <c r="F19">
        <v>200600</v>
      </c>
      <c r="G19">
        <v>99</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E6443-7CAA-427D-8F68-43D90D42F1EF}">
  <dimension ref="A1:S3"/>
  <sheetViews>
    <sheetView tabSelected="1" zoomScale="95" zoomScaleNormal="100" workbookViewId="0">
      <selection activeCell="U3" sqref="U3"/>
    </sheetView>
  </sheetViews>
  <sheetFormatPr defaultRowHeight="14.5" x14ac:dyDescent="0.35"/>
  <sheetData>
    <row r="1" spans="1:19" x14ac:dyDescent="0.35">
      <c r="A1" s="53" t="s">
        <v>124</v>
      </c>
      <c r="B1" s="53"/>
      <c r="C1" s="53"/>
      <c r="D1" s="53"/>
      <c r="E1" s="53"/>
      <c r="F1" s="53"/>
      <c r="G1" s="53"/>
      <c r="H1" s="53"/>
      <c r="I1" s="54"/>
      <c r="J1" s="54"/>
      <c r="K1" s="54"/>
      <c r="L1" s="54"/>
      <c r="M1" s="54"/>
      <c r="N1" s="54"/>
      <c r="O1" s="54"/>
      <c r="P1" s="54"/>
      <c r="Q1" s="54"/>
      <c r="R1" s="54"/>
      <c r="S1" s="54"/>
    </row>
    <row r="2" spans="1:19" x14ac:dyDescent="0.35">
      <c r="A2" s="53"/>
      <c r="B2" s="53"/>
      <c r="C2" s="53"/>
      <c r="D2" s="53"/>
      <c r="E2" s="53"/>
      <c r="F2" s="53"/>
      <c r="G2" s="53"/>
      <c r="H2" s="53"/>
      <c r="I2" s="54"/>
      <c r="J2" s="54"/>
      <c r="K2" s="54"/>
      <c r="L2" s="54"/>
      <c r="M2" s="54"/>
      <c r="N2" s="54"/>
      <c r="O2" s="54"/>
      <c r="P2" s="54"/>
      <c r="Q2" s="54"/>
      <c r="R2" s="54"/>
      <c r="S2" s="54"/>
    </row>
    <row r="3" spans="1:19" x14ac:dyDescent="0.35">
      <c r="A3" s="53"/>
      <c r="B3" s="53"/>
      <c r="C3" s="53"/>
      <c r="D3" s="53"/>
      <c r="E3" s="53"/>
      <c r="F3" s="53"/>
      <c r="G3" s="53"/>
      <c r="H3" s="53"/>
      <c r="I3" s="54"/>
      <c r="J3" s="54"/>
      <c r="K3" s="54"/>
      <c r="L3" s="54"/>
      <c r="M3" s="54"/>
      <c r="N3" s="54"/>
      <c r="O3" s="54"/>
      <c r="P3" s="54"/>
      <c r="Q3" s="54"/>
      <c r="R3" s="54"/>
      <c r="S3" s="54"/>
    </row>
  </sheetData>
  <mergeCells count="2">
    <mergeCell ref="A1:H3"/>
    <mergeCell ref="I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product prices</vt:lpstr>
      <vt:lpstr>sales data1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yashasvi rathore</dc:creator>
  <cp:lastModifiedBy>yashasvi rathore</cp:lastModifiedBy>
  <dcterms:created xsi:type="dcterms:W3CDTF">2026-07-03T10:09:05Z</dcterms:created>
  <dcterms:modified xsi:type="dcterms:W3CDTF">2026-07-23T14:33:47Z</dcterms:modified>
</cp:coreProperties>
</file>